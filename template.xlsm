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inem/Desktop/python/pasori_timecard/"/>
    </mc:Choice>
  </mc:AlternateContent>
  <xr:revisionPtr revIDLastSave="0" documentId="13_ncr:1_{D97E6771-79BD-984F-AE55-CA1D74D09707}" xr6:coauthVersionLast="47" xr6:coauthVersionMax="47" xr10:uidLastSave="{00000000-0000-0000-0000-000000000000}"/>
  <bookViews>
    <workbookView xWindow="0" yWindow="500" windowWidth="33600" windowHeight="20500" xr2:uid="{405257FD-A4FA-7D48-954F-A889B96C8F08}"/>
  </bookViews>
  <sheets>
    <sheet name="パート" sheetId="3" r:id="rId1"/>
    <sheet name="正社員" sheetId="5" r:id="rId2"/>
    <sheet name="ドクター" sheetId="7" r:id="rId3"/>
  </sheets>
  <definedNames>
    <definedName name="month">1</definedName>
    <definedName name="year">2000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" i="7" l="1"/>
  <c r="S1" i="7"/>
  <c r="U1" i="5"/>
  <c r="S1" i="5"/>
  <c r="U1" i="3"/>
  <c r="S1" i="3"/>
  <c r="T31" i="5"/>
  <c r="U31" i="5"/>
  <c r="V31" i="5"/>
  <c r="W31" i="5"/>
  <c r="T32" i="5"/>
  <c r="U32" i="5"/>
  <c r="V32" i="5"/>
  <c r="W32" i="5"/>
  <c r="X32" i="5"/>
  <c r="T33" i="5"/>
  <c r="U33" i="5"/>
  <c r="V33" i="5"/>
  <c r="W33" i="5"/>
  <c r="T34" i="5"/>
  <c r="U34" i="5"/>
  <c r="V34" i="5"/>
  <c r="W34" i="5"/>
  <c r="T35" i="5"/>
  <c r="U35" i="5"/>
  <c r="V35" i="5"/>
  <c r="W35" i="5"/>
  <c r="T36" i="5"/>
  <c r="U36" i="5"/>
  <c r="V36" i="5"/>
  <c r="W36" i="5"/>
  <c r="X36" i="5"/>
  <c r="T37" i="5"/>
  <c r="U37" i="5"/>
  <c r="V37" i="5"/>
  <c r="W37" i="5"/>
  <c r="X37" i="5"/>
  <c r="T36" i="3"/>
  <c r="U36" i="3"/>
  <c r="V36" i="3"/>
  <c r="W36" i="3"/>
  <c r="X36" i="3"/>
  <c r="Y36" i="3"/>
  <c r="T37" i="3"/>
  <c r="U37" i="3"/>
  <c r="V37" i="3"/>
  <c r="W37" i="3"/>
  <c r="X37" i="3"/>
  <c r="Y37" i="3"/>
  <c r="X1" i="3" a="1"/>
  <c r="X1" i="3" s="1"/>
  <c r="X1" i="7" a="1"/>
  <c r="X1" i="7" s="1"/>
  <c r="X1" i="5" a="1"/>
  <c r="X1" i="5" s="1"/>
  <c r="T35" i="7"/>
  <c r="U35" i="7"/>
  <c r="V35" i="7"/>
  <c r="W35" i="7"/>
  <c r="T36" i="7"/>
  <c r="U36" i="7"/>
  <c r="V36" i="7"/>
  <c r="W36" i="7"/>
  <c r="T37" i="7"/>
  <c r="U37" i="7"/>
  <c r="V37" i="7"/>
  <c r="W37" i="7"/>
  <c r="T34" i="3"/>
  <c r="U34" i="3"/>
  <c r="V34" i="3"/>
  <c r="W34" i="3"/>
  <c r="T35" i="3"/>
  <c r="U35" i="3"/>
  <c r="V35" i="3"/>
  <c r="W35" i="3"/>
  <c r="R35" i="7"/>
  <c r="W34" i="7"/>
  <c r="V34" i="7"/>
  <c r="U34" i="7"/>
  <c r="T34" i="7"/>
  <c r="R34" i="7"/>
  <c r="W33" i="7"/>
  <c r="V33" i="7"/>
  <c r="U33" i="7"/>
  <c r="T33" i="7"/>
  <c r="R33" i="7"/>
  <c r="W32" i="7"/>
  <c r="V32" i="7"/>
  <c r="U32" i="7"/>
  <c r="T32" i="7"/>
  <c r="R32" i="7"/>
  <c r="W31" i="7"/>
  <c r="V31" i="7"/>
  <c r="U31" i="7"/>
  <c r="T31" i="7"/>
  <c r="R31" i="7"/>
  <c r="W30" i="7"/>
  <c r="V30" i="7"/>
  <c r="U30" i="7"/>
  <c r="T30" i="7"/>
  <c r="R30" i="7"/>
  <c r="Q30" i="7"/>
  <c r="M30" i="7"/>
  <c r="L30" i="7"/>
  <c r="W29" i="7"/>
  <c r="V29" i="7"/>
  <c r="U29" i="7"/>
  <c r="T29" i="7"/>
  <c r="R29" i="7"/>
  <c r="Q29" i="7"/>
  <c r="M29" i="7"/>
  <c r="L29" i="7"/>
  <c r="W28" i="7"/>
  <c r="V28" i="7"/>
  <c r="U28" i="7"/>
  <c r="T28" i="7"/>
  <c r="R28" i="7"/>
  <c r="Q28" i="7"/>
  <c r="M28" i="7"/>
  <c r="L28" i="7"/>
  <c r="W27" i="7"/>
  <c r="V27" i="7"/>
  <c r="U27" i="7"/>
  <c r="T27" i="7"/>
  <c r="R27" i="7"/>
  <c r="Q27" i="7"/>
  <c r="M27" i="7"/>
  <c r="L27" i="7"/>
  <c r="W26" i="7"/>
  <c r="V26" i="7"/>
  <c r="U26" i="7"/>
  <c r="T26" i="7"/>
  <c r="R26" i="7"/>
  <c r="Q26" i="7"/>
  <c r="M26" i="7"/>
  <c r="L26" i="7"/>
  <c r="W25" i="7"/>
  <c r="V25" i="7"/>
  <c r="U25" i="7"/>
  <c r="T25" i="7"/>
  <c r="R25" i="7"/>
  <c r="Q25" i="7"/>
  <c r="M25" i="7"/>
  <c r="L25" i="7"/>
  <c r="W24" i="7"/>
  <c r="V24" i="7"/>
  <c r="U24" i="7"/>
  <c r="T24" i="7"/>
  <c r="R24" i="7"/>
  <c r="Q24" i="7"/>
  <c r="M24" i="7"/>
  <c r="L24" i="7"/>
  <c r="W23" i="7"/>
  <c r="V23" i="7"/>
  <c r="U23" i="7"/>
  <c r="T23" i="7"/>
  <c r="R23" i="7"/>
  <c r="Q23" i="7"/>
  <c r="M23" i="7"/>
  <c r="L23" i="7"/>
  <c r="W22" i="7"/>
  <c r="V22" i="7"/>
  <c r="U22" i="7"/>
  <c r="T22" i="7"/>
  <c r="R22" i="7"/>
  <c r="Q22" i="7"/>
  <c r="M22" i="7"/>
  <c r="L22" i="7"/>
  <c r="W21" i="7"/>
  <c r="V21" i="7"/>
  <c r="U21" i="7"/>
  <c r="T21" i="7"/>
  <c r="R21" i="7"/>
  <c r="Q21" i="7"/>
  <c r="M21" i="7"/>
  <c r="L21" i="7"/>
  <c r="W20" i="7"/>
  <c r="V20" i="7"/>
  <c r="U20" i="7"/>
  <c r="T20" i="7"/>
  <c r="R20" i="7"/>
  <c r="Q20" i="7"/>
  <c r="M20" i="7"/>
  <c r="L20" i="7"/>
  <c r="W19" i="7"/>
  <c r="V19" i="7"/>
  <c r="U19" i="7"/>
  <c r="T19" i="7"/>
  <c r="R19" i="7"/>
  <c r="Q19" i="7"/>
  <c r="M19" i="7"/>
  <c r="L19" i="7"/>
  <c r="W18" i="7"/>
  <c r="V18" i="7"/>
  <c r="U18" i="7"/>
  <c r="T18" i="7"/>
  <c r="R18" i="7"/>
  <c r="Q18" i="7"/>
  <c r="M18" i="7"/>
  <c r="L18" i="7"/>
  <c r="W17" i="7"/>
  <c r="V17" i="7"/>
  <c r="U17" i="7"/>
  <c r="T17" i="7"/>
  <c r="R17" i="7"/>
  <c r="Q17" i="7"/>
  <c r="M17" i="7"/>
  <c r="L17" i="7"/>
  <c r="W16" i="7"/>
  <c r="V16" i="7"/>
  <c r="U16" i="7"/>
  <c r="T16" i="7"/>
  <c r="R16" i="7"/>
  <c r="Q16" i="7"/>
  <c r="M16" i="7"/>
  <c r="L16" i="7"/>
  <c r="W15" i="7"/>
  <c r="V15" i="7"/>
  <c r="U15" i="7"/>
  <c r="T15" i="7"/>
  <c r="R15" i="7"/>
  <c r="Q15" i="7"/>
  <c r="M15" i="7"/>
  <c r="L15" i="7"/>
  <c r="W14" i="7"/>
  <c r="V14" i="7"/>
  <c r="U14" i="7"/>
  <c r="T14" i="7"/>
  <c r="R14" i="7"/>
  <c r="Q14" i="7"/>
  <c r="M14" i="7"/>
  <c r="L14" i="7"/>
  <c r="W13" i="7"/>
  <c r="V13" i="7"/>
  <c r="U13" i="7"/>
  <c r="T13" i="7"/>
  <c r="R13" i="7"/>
  <c r="Q13" i="7"/>
  <c r="M13" i="7"/>
  <c r="L13" i="7"/>
  <c r="W12" i="7"/>
  <c r="V12" i="7"/>
  <c r="U12" i="7"/>
  <c r="T12" i="7"/>
  <c r="R12" i="7"/>
  <c r="Q12" i="7"/>
  <c r="M12" i="7"/>
  <c r="L12" i="7"/>
  <c r="W11" i="7"/>
  <c r="V11" i="7"/>
  <c r="U11" i="7"/>
  <c r="T11" i="7"/>
  <c r="R11" i="7"/>
  <c r="Q11" i="7"/>
  <c r="M11" i="7"/>
  <c r="L11" i="7"/>
  <c r="W10" i="7"/>
  <c r="V10" i="7"/>
  <c r="U10" i="7"/>
  <c r="T10" i="7"/>
  <c r="R10" i="7"/>
  <c r="Q10" i="7"/>
  <c r="M10" i="7"/>
  <c r="L10" i="7"/>
  <c r="W9" i="7"/>
  <c r="V9" i="7"/>
  <c r="U9" i="7"/>
  <c r="T9" i="7"/>
  <c r="R9" i="7"/>
  <c r="Q9" i="7"/>
  <c r="M9" i="7"/>
  <c r="L9" i="7"/>
  <c r="W8" i="7"/>
  <c r="V8" i="7"/>
  <c r="U8" i="7"/>
  <c r="T8" i="7"/>
  <c r="R8" i="7"/>
  <c r="Q8" i="7"/>
  <c r="M8" i="7"/>
  <c r="L8" i="7"/>
  <c r="N8" i="7" s="1"/>
  <c r="W7" i="7"/>
  <c r="V7" i="7"/>
  <c r="U7" i="7"/>
  <c r="T7" i="7"/>
  <c r="R7" i="7"/>
  <c r="Q7" i="7"/>
  <c r="M7" i="7"/>
  <c r="L7" i="7"/>
  <c r="Q6" i="7"/>
  <c r="M6" i="7"/>
  <c r="L6" i="7"/>
  <c r="T4" i="7"/>
  <c r="Q5" i="7"/>
  <c r="M5" i="7"/>
  <c r="L5" i="7"/>
  <c r="N5" i="7" s="1"/>
  <c r="P5" i="7" s="1"/>
  <c r="Q4" i="7"/>
  <c r="M4" i="7"/>
  <c r="L4" i="7"/>
  <c r="Q3" i="7"/>
  <c r="M3" i="7"/>
  <c r="L3" i="7"/>
  <c r="Q2" i="7"/>
  <c r="Q38" i="7" s="1"/>
  <c r="M2" i="7"/>
  <c r="L2" i="7"/>
  <c r="L28" i="5"/>
  <c r="T5" i="5"/>
  <c r="R35" i="5"/>
  <c r="R34" i="5"/>
  <c r="R33" i="5"/>
  <c r="R32" i="5"/>
  <c r="R31" i="5"/>
  <c r="W30" i="5"/>
  <c r="V30" i="5"/>
  <c r="U30" i="5"/>
  <c r="T30" i="5"/>
  <c r="R30" i="5"/>
  <c r="Q30" i="5"/>
  <c r="X35" i="5" s="1"/>
  <c r="M30" i="5"/>
  <c r="L30" i="5"/>
  <c r="W29" i="5"/>
  <c r="V29" i="5"/>
  <c r="U29" i="5"/>
  <c r="T29" i="5"/>
  <c r="R29" i="5"/>
  <c r="Q29" i="5"/>
  <c r="X34" i="5" s="1"/>
  <c r="M29" i="5"/>
  <c r="L29" i="5"/>
  <c r="W28" i="5"/>
  <c r="V28" i="5"/>
  <c r="U28" i="5"/>
  <c r="T28" i="5"/>
  <c r="R28" i="5"/>
  <c r="Q28" i="5"/>
  <c r="X33" i="5" s="1"/>
  <c r="M28" i="5"/>
  <c r="W27" i="5"/>
  <c r="V27" i="5"/>
  <c r="U27" i="5"/>
  <c r="T27" i="5"/>
  <c r="R27" i="5"/>
  <c r="Q27" i="5"/>
  <c r="M27" i="5"/>
  <c r="L27" i="5"/>
  <c r="W26" i="5"/>
  <c r="V26" i="5"/>
  <c r="U26" i="5"/>
  <c r="T26" i="5"/>
  <c r="R26" i="5"/>
  <c r="Q26" i="5"/>
  <c r="X31" i="5" s="1"/>
  <c r="M26" i="5"/>
  <c r="L26" i="5"/>
  <c r="W25" i="5"/>
  <c r="V25" i="5"/>
  <c r="U25" i="5"/>
  <c r="T25" i="5"/>
  <c r="R25" i="5"/>
  <c r="Q25" i="5"/>
  <c r="X30" i="5" s="1"/>
  <c r="M25" i="5"/>
  <c r="L25" i="5"/>
  <c r="W24" i="5"/>
  <c r="V24" i="5"/>
  <c r="U24" i="5"/>
  <c r="T24" i="5"/>
  <c r="R24" i="5"/>
  <c r="Q24" i="5"/>
  <c r="X29" i="5" s="1"/>
  <c r="M24" i="5"/>
  <c r="L24" i="5"/>
  <c r="W23" i="5"/>
  <c r="V23" i="5"/>
  <c r="U23" i="5"/>
  <c r="T23" i="5"/>
  <c r="R23" i="5"/>
  <c r="Q23" i="5"/>
  <c r="X28" i="5" s="1"/>
  <c r="M23" i="5"/>
  <c r="L23" i="5"/>
  <c r="W22" i="5"/>
  <c r="V22" i="5"/>
  <c r="U22" i="5"/>
  <c r="T22" i="5"/>
  <c r="R22" i="5"/>
  <c r="Q22" i="5"/>
  <c r="X27" i="5" s="1"/>
  <c r="M22" i="5"/>
  <c r="L22" i="5"/>
  <c r="W21" i="5"/>
  <c r="V21" i="5"/>
  <c r="U21" i="5"/>
  <c r="T21" i="5"/>
  <c r="R21" i="5"/>
  <c r="Q21" i="5"/>
  <c r="X26" i="5" s="1"/>
  <c r="M21" i="5"/>
  <c r="L21" i="5"/>
  <c r="W20" i="5"/>
  <c r="V20" i="5"/>
  <c r="U20" i="5"/>
  <c r="T20" i="5"/>
  <c r="R20" i="5"/>
  <c r="Q20" i="5"/>
  <c r="X25" i="5" s="1"/>
  <c r="M20" i="5"/>
  <c r="L20" i="5"/>
  <c r="W19" i="5"/>
  <c r="V19" i="5"/>
  <c r="U19" i="5"/>
  <c r="T19" i="5"/>
  <c r="R19" i="5"/>
  <c r="Q19" i="5"/>
  <c r="X24" i="5" s="1"/>
  <c r="M19" i="5"/>
  <c r="L19" i="5"/>
  <c r="W18" i="5"/>
  <c r="V18" i="5"/>
  <c r="U18" i="5"/>
  <c r="T18" i="5"/>
  <c r="R18" i="5"/>
  <c r="Q18" i="5"/>
  <c r="X23" i="5" s="1"/>
  <c r="M18" i="5"/>
  <c r="L18" i="5"/>
  <c r="W17" i="5"/>
  <c r="V17" i="5"/>
  <c r="U17" i="5"/>
  <c r="T17" i="5"/>
  <c r="R17" i="5"/>
  <c r="Q17" i="5"/>
  <c r="X22" i="5" s="1"/>
  <c r="M17" i="5"/>
  <c r="L17" i="5"/>
  <c r="W16" i="5"/>
  <c r="V16" i="5"/>
  <c r="U16" i="5"/>
  <c r="T16" i="5"/>
  <c r="R16" i="5"/>
  <c r="Q16" i="5"/>
  <c r="X21" i="5" s="1"/>
  <c r="M16" i="5"/>
  <c r="L16" i="5"/>
  <c r="W15" i="5"/>
  <c r="V15" i="5"/>
  <c r="U15" i="5"/>
  <c r="T15" i="5"/>
  <c r="R15" i="5"/>
  <c r="Q15" i="5"/>
  <c r="X20" i="5" s="1"/>
  <c r="M15" i="5"/>
  <c r="L15" i="5"/>
  <c r="W14" i="5"/>
  <c r="V14" i="5"/>
  <c r="U14" i="5"/>
  <c r="T14" i="5"/>
  <c r="R14" i="5"/>
  <c r="Q14" i="5"/>
  <c r="X19" i="5" s="1"/>
  <c r="M14" i="5"/>
  <c r="L14" i="5"/>
  <c r="W13" i="5"/>
  <c r="V13" i="5"/>
  <c r="U13" i="5"/>
  <c r="T13" i="5"/>
  <c r="R13" i="5"/>
  <c r="Q13" i="5"/>
  <c r="X18" i="5" s="1"/>
  <c r="M13" i="5"/>
  <c r="L13" i="5"/>
  <c r="W12" i="5"/>
  <c r="V12" i="5"/>
  <c r="U12" i="5"/>
  <c r="T12" i="5"/>
  <c r="R12" i="5"/>
  <c r="Q12" i="5"/>
  <c r="X17" i="5" s="1"/>
  <c r="M12" i="5"/>
  <c r="L12" i="5"/>
  <c r="W11" i="5"/>
  <c r="V11" i="5"/>
  <c r="U11" i="5"/>
  <c r="T11" i="5"/>
  <c r="R11" i="5"/>
  <c r="Q11" i="5"/>
  <c r="X16" i="5" s="1"/>
  <c r="M11" i="5"/>
  <c r="L11" i="5"/>
  <c r="W10" i="5"/>
  <c r="V10" i="5"/>
  <c r="U10" i="5"/>
  <c r="T10" i="5"/>
  <c r="R10" i="5"/>
  <c r="Q10" i="5"/>
  <c r="X15" i="5" s="1"/>
  <c r="M10" i="5"/>
  <c r="L10" i="5"/>
  <c r="W9" i="5"/>
  <c r="V9" i="5"/>
  <c r="U9" i="5"/>
  <c r="T9" i="5"/>
  <c r="R9" i="5"/>
  <c r="Q9" i="5"/>
  <c r="X14" i="5" s="1"/>
  <c r="M9" i="5"/>
  <c r="L9" i="5"/>
  <c r="W8" i="5"/>
  <c r="V8" i="5"/>
  <c r="U8" i="5"/>
  <c r="T8" i="5"/>
  <c r="R8" i="5"/>
  <c r="Q8" i="5"/>
  <c r="X13" i="5" s="1"/>
  <c r="M8" i="5"/>
  <c r="L8" i="5"/>
  <c r="W7" i="5"/>
  <c r="V7" i="5"/>
  <c r="U7" i="5"/>
  <c r="T7" i="5"/>
  <c r="R7" i="5"/>
  <c r="Q7" i="5"/>
  <c r="X12" i="5" s="1"/>
  <c r="M7" i="5"/>
  <c r="L7" i="5"/>
  <c r="Q6" i="5"/>
  <c r="X11" i="5" s="1"/>
  <c r="M6" i="5"/>
  <c r="L6" i="5"/>
  <c r="Q5" i="5"/>
  <c r="X10" i="5" s="1"/>
  <c r="M5" i="5"/>
  <c r="L5" i="5"/>
  <c r="Q4" i="5"/>
  <c r="X9" i="5" s="1"/>
  <c r="M4" i="5"/>
  <c r="L4" i="5"/>
  <c r="Q3" i="5"/>
  <c r="X8" i="5" s="1"/>
  <c r="M3" i="5"/>
  <c r="L3" i="5"/>
  <c r="Q2" i="5"/>
  <c r="X7" i="5" s="1"/>
  <c r="M2" i="5"/>
  <c r="L2" i="5"/>
  <c r="L3" i="3"/>
  <c r="M3" i="3"/>
  <c r="L4" i="3"/>
  <c r="M4" i="3"/>
  <c r="N4" i="3" s="1"/>
  <c r="L5" i="3"/>
  <c r="M5" i="3"/>
  <c r="L6" i="3"/>
  <c r="M6" i="3"/>
  <c r="L7" i="3"/>
  <c r="M7" i="3"/>
  <c r="L8" i="3"/>
  <c r="M8" i="3"/>
  <c r="L9" i="3"/>
  <c r="M9" i="3"/>
  <c r="L10" i="3"/>
  <c r="M10" i="3"/>
  <c r="L11" i="3"/>
  <c r="N11" i="3" s="1"/>
  <c r="P11" i="3" s="1"/>
  <c r="Y16" i="3" s="1"/>
  <c r="M11" i="3"/>
  <c r="L12" i="3"/>
  <c r="M12" i="3"/>
  <c r="L13" i="3"/>
  <c r="N13" i="3" s="1"/>
  <c r="P13" i="3" s="1"/>
  <c r="M13" i="3"/>
  <c r="L14" i="3"/>
  <c r="M14" i="3"/>
  <c r="L15" i="3"/>
  <c r="M15" i="3"/>
  <c r="L16" i="3"/>
  <c r="M16" i="3"/>
  <c r="L17" i="3"/>
  <c r="M17" i="3"/>
  <c r="L18" i="3"/>
  <c r="M18" i="3"/>
  <c r="N18" i="3" s="1"/>
  <c r="O18" i="3" s="1"/>
  <c r="X23" i="3" s="1"/>
  <c r="L19" i="3"/>
  <c r="M19" i="3"/>
  <c r="L20" i="3"/>
  <c r="M20" i="3"/>
  <c r="L21" i="3"/>
  <c r="N21" i="3" s="1"/>
  <c r="P21" i="3" s="1"/>
  <c r="Y26" i="3" s="1"/>
  <c r="M21" i="3"/>
  <c r="L22" i="3"/>
  <c r="M22" i="3"/>
  <c r="L23" i="3"/>
  <c r="M23" i="3"/>
  <c r="L24" i="3"/>
  <c r="M24" i="3"/>
  <c r="L25" i="3"/>
  <c r="M25" i="3"/>
  <c r="L26" i="3"/>
  <c r="M26" i="3"/>
  <c r="L27" i="3"/>
  <c r="M27" i="3"/>
  <c r="L28" i="3"/>
  <c r="M28" i="3"/>
  <c r="L29" i="3"/>
  <c r="M29" i="3"/>
  <c r="L30" i="3"/>
  <c r="M30" i="3"/>
  <c r="M2" i="3"/>
  <c r="L2" i="3"/>
  <c r="N5" i="3"/>
  <c r="P5" i="3" s="1"/>
  <c r="N6" i="3"/>
  <c r="P6" i="3" s="1"/>
  <c r="N7" i="3"/>
  <c r="P7" i="3" s="1"/>
  <c r="Y12" i="3" s="1"/>
  <c r="N14" i="3"/>
  <c r="P14" i="3" s="1"/>
  <c r="Y19" i="3" s="1"/>
  <c r="T5" i="3"/>
  <c r="T8" i="3"/>
  <c r="U8" i="3"/>
  <c r="V8" i="3"/>
  <c r="W8" i="3"/>
  <c r="T9" i="3"/>
  <c r="U9" i="3"/>
  <c r="V9" i="3"/>
  <c r="W9" i="3"/>
  <c r="T10" i="3"/>
  <c r="U10" i="3"/>
  <c r="V10" i="3"/>
  <c r="W10" i="3"/>
  <c r="T11" i="3"/>
  <c r="U11" i="3"/>
  <c r="V11" i="3"/>
  <c r="W11" i="3"/>
  <c r="T12" i="3"/>
  <c r="U12" i="3"/>
  <c r="V12" i="3"/>
  <c r="W12" i="3"/>
  <c r="T13" i="3"/>
  <c r="U13" i="3"/>
  <c r="V13" i="3"/>
  <c r="W13" i="3"/>
  <c r="T14" i="3"/>
  <c r="U14" i="3"/>
  <c r="V14" i="3"/>
  <c r="W14" i="3"/>
  <c r="T15" i="3"/>
  <c r="U15" i="3"/>
  <c r="V15" i="3"/>
  <c r="W15" i="3"/>
  <c r="T16" i="3"/>
  <c r="U16" i="3"/>
  <c r="V16" i="3"/>
  <c r="W16" i="3"/>
  <c r="T17" i="3"/>
  <c r="U17" i="3"/>
  <c r="V17" i="3"/>
  <c r="W17" i="3"/>
  <c r="T18" i="3"/>
  <c r="U18" i="3"/>
  <c r="V18" i="3"/>
  <c r="W18" i="3"/>
  <c r="T19" i="3"/>
  <c r="U19" i="3"/>
  <c r="V19" i="3"/>
  <c r="W19" i="3"/>
  <c r="T20" i="3"/>
  <c r="U20" i="3"/>
  <c r="V20" i="3"/>
  <c r="W20" i="3"/>
  <c r="T21" i="3"/>
  <c r="U21" i="3"/>
  <c r="V21" i="3"/>
  <c r="W21" i="3"/>
  <c r="T22" i="3"/>
  <c r="U22" i="3"/>
  <c r="V22" i="3"/>
  <c r="W22" i="3"/>
  <c r="T23" i="3"/>
  <c r="U23" i="3"/>
  <c r="V23" i="3"/>
  <c r="W23" i="3"/>
  <c r="T24" i="3"/>
  <c r="U24" i="3"/>
  <c r="V24" i="3"/>
  <c r="W24" i="3"/>
  <c r="T25" i="3"/>
  <c r="U25" i="3"/>
  <c r="V25" i="3"/>
  <c r="W25" i="3"/>
  <c r="T26" i="3"/>
  <c r="U26" i="3"/>
  <c r="V26" i="3"/>
  <c r="W26" i="3"/>
  <c r="T27" i="3"/>
  <c r="U27" i="3"/>
  <c r="V27" i="3"/>
  <c r="W27" i="3"/>
  <c r="T28" i="3"/>
  <c r="U28" i="3"/>
  <c r="V28" i="3"/>
  <c r="W28" i="3"/>
  <c r="T29" i="3"/>
  <c r="U29" i="3"/>
  <c r="V29" i="3"/>
  <c r="W29" i="3"/>
  <c r="T30" i="3"/>
  <c r="U30" i="3"/>
  <c r="V30" i="3"/>
  <c r="W30" i="3"/>
  <c r="T31" i="3"/>
  <c r="U31" i="3"/>
  <c r="V31" i="3"/>
  <c r="W31" i="3"/>
  <c r="T32" i="3"/>
  <c r="U32" i="3"/>
  <c r="V32" i="3"/>
  <c r="W32" i="3"/>
  <c r="T33" i="3"/>
  <c r="U33" i="3"/>
  <c r="V33" i="3"/>
  <c r="W33" i="3"/>
  <c r="U7" i="3"/>
  <c r="V7" i="3"/>
  <c r="W7" i="3"/>
  <c r="T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7" i="3"/>
  <c r="N20" i="3" l="1"/>
  <c r="P20" i="3" s="1"/>
  <c r="N3" i="3"/>
  <c r="P3" i="3" s="1"/>
  <c r="Y8" i="3" s="1"/>
  <c r="N10" i="3"/>
  <c r="P10" i="3" s="1"/>
  <c r="Y15" i="3" s="1"/>
  <c r="N19" i="3"/>
  <c r="P19" i="3" s="1"/>
  <c r="Y24" i="3" s="1"/>
  <c r="N15" i="3"/>
  <c r="P15" i="3" s="1"/>
  <c r="N30" i="5"/>
  <c r="Q36" i="5"/>
  <c r="N10" i="5"/>
  <c r="S31" i="5"/>
  <c r="S36" i="5"/>
  <c r="S32" i="5"/>
  <c r="S37" i="5"/>
  <c r="S33" i="5"/>
  <c r="S34" i="5"/>
  <c r="S35" i="5"/>
  <c r="S36" i="3"/>
  <c r="S37" i="3"/>
  <c r="N30" i="3"/>
  <c r="P30" i="3" s="1"/>
  <c r="Y35" i="3" s="1"/>
  <c r="N26" i="3"/>
  <c r="O26" i="3" s="1"/>
  <c r="S36" i="7"/>
  <c r="S7" i="7"/>
  <c r="S37" i="7"/>
  <c r="S35" i="7"/>
  <c r="S22" i="5"/>
  <c r="S34" i="3"/>
  <c r="N24" i="3"/>
  <c r="P24" i="3" s="1"/>
  <c r="Y29" i="3" s="1"/>
  <c r="S35" i="3"/>
  <c r="S18" i="7"/>
  <c r="S8" i="7"/>
  <c r="S19" i="7"/>
  <c r="S32" i="7"/>
  <c r="S9" i="7"/>
  <c r="S23" i="7"/>
  <c r="S11" i="7"/>
  <c r="S25" i="7"/>
  <c r="S15" i="7"/>
  <c r="S26" i="7"/>
  <c r="S10" i="7"/>
  <c r="S24" i="7"/>
  <c r="S16" i="7"/>
  <c r="S27" i="7"/>
  <c r="S17" i="7"/>
  <c r="S33" i="7"/>
  <c r="S12" i="7"/>
  <c r="S20" i="7"/>
  <c r="S28" i="7"/>
  <c r="S31" i="7"/>
  <c r="S13" i="7"/>
  <c r="S21" i="7"/>
  <c r="S29" i="7"/>
  <c r="S14" i="7"/>
  <c r="S22" i="7"/>
  <c r="S30" i="7"/>
  <c r="S34" i="7"/>
  <c r="S11" i="3"/>
  <c r="S7" i="5"/>
  <c r="S15" i="5"/>
  <c r="S23" i="5"/>
  <c r="S8" i="5"/>
  <c r="S16" i="5"/>
  <c r="S24" i="5"/>
  <c r="S25" i="5"/>
  <c r="S11" i="5"/>
  <c r="S9" i="5"/>
  <c r="S17" i="5"/>
  <c r="S10" i="5"/>
  <c r="S18" i="5"/>
  <c r="S26" i="5"/>
  <c r="S12" i="5"/>
  <c r="S20" i="5"/>
  <c r="S29" i="5"/>
  <c r="S19" i="5"/>
  <c r="S27" i="5"/>
  <c r="S28" i="5"/>
  <c r="S13" i="5"/>
  <c r="S21" i="5"/>
  <c r="S30" i="5"/>
  <c r="S14" i="5"/>
  <c r="S30" i="3"/>
  <c r="S22" i="3"/>
  <c r="S33" i="3"/>
  <c r="S27" i="3"/>
  <c r="S19" i="3"/>
  <c r="S26" i="3"/>
  <c r="S18" i="3"/>
  <c r="S10" i="3"/>
  <c r="S9" i="3"/>
  <c r="S14" i="3"/>
  <c r="S29" i="3"/>
  <c r="S13" i="3"/>
  <c r="S25" i="3"/>
  <c r="S17" i="3"/>
  <c r="S7" i="3"/>
  <c r="S24" i="3"/>
  <c r="S16" i="3"/>
  <c r="S8" i="3"/>
  <c r="S31" i="3"/>
  <c r="S23" i="3"/>
  <c r="S15" i="3"/>
  <c r="S21" i="3"/>
  <c r="S28" i="3"/>
  <c r="S20" i="3"/>
  <c r="S12" i="3"/>
  <c r="S32" i="3"/>
  <c r="N22" i="3"/>
  <c r="P22" i="3" s="1"/>
  <c r="Y27" i="3" s="1"/>
  <c r="N25" i="3"/>
  <c r="O25" i="3" s="1"/>
  <c r="X30" i="3" s="1"/>
  <c r="N16" i="3"/>
  <c r="O16" i="3" s="1"/>
  <c r="X21" i="3" s="1"/>
  <c r="N12" i="3"/>
  <c r="P12" i="3" s="1"/>
  <c r="N8" i="3"/>
  <c r="P8" i="3" s="1"/>
  <c r="Y13" i="3" s="1"/>
  <c r="O11" i="3"/>
  <c r="X16" i="3" s="1"/>
  <c r="N17" i="3"/>
  <c r="O17" i="3" s="1"/>
  <c r="X22" i="3" s="1"/>
  <c r="O10" i="3"/>
  <c r="X15" i="3" s="1"/>
  <c r="N9" i="3"/>
  <c r="O9" i="3" s="1"/>
  <c r="X14" i="3" s="1"/>
  <c r="N28" i="3"/>
  <c r="P28" i="3" s="1"/>
  <c r="Y33" i="3" s="1"/>
  <c r="O13" i="3"/>
  <c r="N23" i="3"/>
  <c r="P23" i="3" s="1"/>
  <c r="P4" i="3"/>
  <c r="Y9" i="3" s="1"/>
  <c r="O4" i="3"/>
  <c r="X9" i="3" s="1"/>
  <c r="N29" i="3"/>
  <c r="P29" i="3" s="1"/>
  <c r="Y34" i="3" s="1"/>
  <c r="N12" i="5"/>
  <c r="N20" i="5"/>
  <c r="N13" i="5"/>
  <c r="O21" i="3"/>
  <c r="X26" i="3" s="1"/>
  <c r="N27" i="3"/>
  <c r="P27" i="3" s="1"/>
  <c r="N22" i="5"/>
  <c r="P22" i="5" s="1"/>
  <c r="N23" i="5"/>
  <c r="O20" i="3"/>
  <c r="X25" i="3" s="1"/>
  <c r="O3" i="3"/>
  <c r="X8" i="3" s="1"/>
  <c r="O5" i="3"/>
  <c r="X10" i="3" s="1"/>
  <c r="O19" i="3"/>
  <c r="X24" i="3" s="1"/>
  <c r="N9" i="5"/>
  <c r="N17" i="5"/>
  <c r="P17" i="5" s="1"/>
  <c r="N12" i="7"/>
  <c r="O12" i="7" s="1"/>
  <c r="N4" i="7"/>
  <c r="N9" i="7"/>
  <c r="N28" i="7"/>
  <c r="N2" i="7"/>
  <c r="N7" i="7"/>
  <c r="N22" i="7"/>
  <c r="N6" i="7"/>
  <c r="O6" i="7" s="1"/>
  <c r="N17" i="7"/>
  <c r="O17" i="7" s="1"/>
  <c r="N18" i="7"/>
  <c r="N26" i="7"/>
  <c r="N19" i="7"/>
  <c r="N27" i="7"/>
  <c r="N30" i="7"/>
  <c r="N3" i="7"/>
  <c r="N23" i="7"/>
  <c r="N13" i="7"/>
  <c r="N25" i="7"/>
  <c r="N10" i="7"/>
  <c r="P10" i="7" s="1"/>
  <c r="N14" i="7"/>
  <c r="P12" i="7"/>
  <c r="N11" i="7"/>
  <c r="N15" i="7"/>
  <c r="N16" i="7"/>
  <c r="N20" i="7"/>
  <c r="N21" i="7"/>
  <c r="N29" i="7"/>
  <c r="N24" i="7"/>
  <c r="O2" i="7"/>
  <c r="P17" i="7"/>
  <c r="P22" i="7"/>
  <c r="O22" i="7"/>
  <c r="P28" i="7"/>
  <c r="O28" i="7"/>
  <c r="P30" i="7"/>
  <c r="O7" i="7"/>
  <c r="P7" i="7"/>
  <c r="O18" i="7"/>
  <c r="P8" i="7"/>
  <c r="O8" i="7"/>
  <c r="O9" i="7"/>
  <c r="O13" i="7"/>
  <c r="P13" i="7"/>
  <c r="O14" i="7"/>
  <c r="O15" i="7"/>
  <c r="P21" i="7"/>
  <c r="O19" i="7"/>
  <c r="O26" i="7"/>
  <c r="O5" i="7"/>
  <c r="N14" i="5"/>
  <c r="N21" i="5"/>
  <c r="N5" i="5"/>
  <c r="O5" i="5" s="1"/>
  <c r="N8" i="5"/>
  <c r="O8" i="5" s="1"/>
  <c r="N2" i="5"/>
  <c r="N3" i="5"/>
  <c r="P3" i="5" s="1"/>
  <c r="N18" i="5"/>
  <c r="O18" i="5" s="1"/>
  <c r="N11" i="5"/>
  <c r="N19" i="5"/>
  <c r="N26" i="5"/>
  <c r="N7" i="5"/>
  <c r="P7" i="5" s="1"/>
  <c r="N15" i="5"/>
  <c r="P15" i="5" s="1"/>
  <c r="N27" i="5"/>
  <c r="P27" i="5" s="1"/>
  <c r="N16" i="5"/>
  <c r="P16" i="5" s="1"/>
  <c r="N28" i="5"/>
  <c r="N29" i="5"/>
  <c r="P29" i="5" s="1"/>
  <c r="N4" i="5"/>
  <c r="O4" i="5" s="1"/>
  <c r="N6" i="5"/>
  <c r="O6" i="5" s="1"/>
  <c r="N24" i="5"/>
  <c r="O24" i="5" s="1"/>
  <c r="N25" i="5"/>
  <c r="O25" i="5" s="1"/>
  <c r="P8" i="5"/>
  <c r="P9" i="5"/>
  <c r="O9" i="5"/>
  <c r="P21" i="5"/>
  <c r="O21" i="5"/>
  <c r="O29" i="5"/>
  <c r="P30" i="5"/>
  <c r="O30" i="5"/>
  <c r="O10" i="5"/>
  <c r="P10" i="5"/>
  <c r="P11" i="5"/>
  <c r="O11" i="5"/>
  <c r="P23" i="5"/>
  <c r="O23" i="5"/>
  <c r="P12" i="5"/>
  <c r="O12" i="5"/>
  <c r="P5" i="5"/>
  <c r="P26" i="5"/>
  <c r="O26" i="5"/>
  <c r="P14" i="5"/>
  <c r="O14" i="5"/>
  <c r="P19" i="5"/>
  <c r="O19" i="5"/>
  <c r="P4" i="5"/>
  <c r="P13" i="5"/>
  <c r="O13" i="5"/>
  <c r="O20" i="5"/>
  <c r="P20" i="5"/>
  <c r="P28" i="5"/>
  <c r="O28" i="5"/>
  <c r="O17" i="5"/>
  <c r="O22" i="5"/>
  <c r="O8" i="3"/>
  <c r="X13" i="3" s="1"/>
  <c r="O15" i="3"/>
  <c r="O7" i="3"/>
  <c r="X12" i="3" s="1"/>
  <c r="O30" i="3"/>
  <c r="X35" i="3" s="1"/>
  <c r="O22" i="3"/>
  <c r="O14" i="3"/>
  <c r="X19" i="3" s="1"/>
  <c r="O6" i="3"/>
  <c r="P26" i="3"/>
  <c r="Y31" i="3" s="1"/>
  <c r="P18" i="3"/>
  <c r="Y23" i="3" s="1"/>
  <c r="P25" i="3"/>
  <c r="Y30" i="3" s="1"/>
  <c r="P9" i="3"/>
  <c r="Y14" i="3" s="1"/>
  <c r="P16" i="3"/>
  <c r="Y21" i="3" s="1"/>
  <c r="N2" i="3"/>
  <c r="Y20" i="3"/>
  <c r="Y18" i="3"/>
  <c r="Y10" i="3"/>
  <c r="X31" i="3"/>
  <c r="Y25" i="3"/>
  <c r="O2" i="3" l="1"/>
  <c r="X7" i="3" s="1"/>
  <c r="P38" i="3"/>
  <c r="P2" i="5"/>
  <c r="P36" i="5" s="1"/>
  <c r="P37" i="5"/>
  <c r="O16" i="5"/>
  <c r="P39" i="7"/>
  <c r="O24" i="3"/>
  <c r="X29" i="3" s="1"/>
  <c r="P15" i="7"/>
  <c r="O29" i="3"/>
  <c r="X34" i="3" s="1"/>
  <c r="P2" i="3"/>
  <c r="O28" i="3"/>
  <c r="X33" i="3" s="1"/>
  <c r="P17" i="3"/>
  <c r="Y22" i="3" s="1"/>
  <c r="X20" i="3"/>
  <c r="O23" i="3"/>
  <c r="O12" i="3"/>
  <c r="X27" i="3"/>
  <c r="O27" i="3"/>
  <c r="P25" i="5"/>
  <c r="P6" i="5"/>
  <c r="P24" i="5"/>
  <c r="O21" i="7"/>
  <c r="P18" i="7"/>
  <c r="O27" i="5"/>
  <c r="O15" i="5"/>
  <c r="O3" i="5"/>
  <c r="O2" i="5"/>
  <c r="P16" i="7"/>
  <c r="P18" i="5"/>
  <c r="O16" i="7"/>
  <c r="O4" i="7"/>
  <c r="P9" i="7"/>
  <c r="P4" i="7"/>
  <c r="O3" i="7"/>
  <c r="O38" i="7" s="1"/>
  <c r="O11" i="7"/>
  <c r="O30" i="7"/>
  <c r="P2" i="7"/>
  <c r="P24" i="7"/>
  <c r="P14" i="7"/>
  <c r="P19" i="7"/>
  <c r="O29" i="7"/>
  <c r="O10" i="7"/>
  <c r="P26" i="7"/>
  <c r="O27" i="7"/>
  <c r="O25" i="7"/>
  <c r="P27" i="7"/>
  <c r="P25" i="7"/>
  <c r="P20" i="7"/>
  <c r="O23" i="7"/>
  <c r="P6" i="7"/>
  <c r="P3" i="7"/>
  <c r="P23" i="7"/>
  <c r="O24" i="7"/>
  <c r="O20" i="7"/>
  <c r="P11" i="7"/>
  <c r="P29" i="7"/>
  <c r="O7" i="5"/>
  <c r="T4" i="5"/>
  <c r="T3" i="5"/>
  <c r="Y17" i="3"/>
  <c r="Y32" i="3"/>
  <c r="X18" i="3"/>
  <c r="Y28" i="3"/>
  <c r="Y11" i="3"/>
  <c r="O37" i="3" l="1"/>
  <c r="O36" i="5"/>
  <c r="P38" i="7"/>
  <c r="Y7" i="3"/>
  <c r="P37" i="3"/>
  <c r="X32" i="3"/>
  <c r="X28" i="3"/>
  <c r="X17" i="3"/>
  <c r="T3" i="7"/>
  <c r="X11" i="3"/>
  <c r="T4" i="3" l="1"/>
  <c r="T3" i="3" l="1"/>
  <c r="X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<sst xmlns="http://schemas.openxmlformats.org/spreadsheetml/2006/main" count="101" uniqueCount="32">
  <si>
    <t>﻿日付</t>
  </si>
  <si>
    <t>出勤1</t>
  </si>
  <si>
    <t>退勤1</t>
  </si>
  <si>
    <t>出勤2</t>
  </si>
  <si>
    <t>退勤2</t>
  </si>
  <si>
    <t>出勤3</t>
  </si>
  <si>
    <t>退勤3</t>
  </si>
  <si>
    <t>出勤4</t>
  </si>
  <si>
    <t>退勤4</t>
  </si>
  <si>
    <t>勤務時間</t>
  </si>
  <si>
    <t>要確認</t>
  </si>
  <si>
    <t>計算用出勤</t>
    <rPh sb="0" eb="3">
      <t xml:space="preserve">ケイサンヨウ </t>
    </rPh>
    <rPh sb="3" eb="5">
      <t xml:space="preserve">シュッキｎ </t>
    </rPh>
    <phoneticPr fontId="1"/>
  </si>
  <si>
    <t>計算用勤務時間</t>
    <rPh sb="0" eb="2">
      <t xml:space="preserve">ケイサン </t>
    </rPh>
    <rPh sb="2" eb="3">
      <t xml:space="preserve">ヨウ </t>
    </rPh>
    <rPh sb="3" eb="7">
      <t xml:space="preserve">キンムジカｎ </t>
    </rPh>
    <phoneticPr fontId="1"/>
  </si>
  <si>
    <t>勤務時間(&lt;8h)</t>
    <rPh sb="0" eb="4">
      <t xml:space="preserve">キンムジカｎ </t>
    </rPh>
    <phoneticPr fontId="1"/>
  </si>
  <si>
    <t>勤務時間(8h&lt;=)</t>
    <rPh sb="0" eb="4">
      <t xml:space="preserve">キンムジカｎ </t>
    </rPh>
    <phoneticPr fontId="1"/>
  </si>
  <si>
    <t>正社員残業</t>
    <rPh sb="0" eb="3">
      <t xml:space="preserve">セイシャイｎ </t>
    </rPh>
    <rPh sb="3" eb="5">
      <t xml:space="preserve">ザンギョウ </t>
    </rPh>
    <phoneticPr fontId="1"/>
  </si>
  <si>
    <t>有給</t>
    <rPh sb="0" eb="2">
      <t xml:space="preserve">ユウキュウ </t>
    </rPh>
    <phoneticPr fontId="1"/>
  </si>
  <si>
    <t>勤務日数</t>
    <rPh sb="0" eb="4">
      <t xml:space="preserve">キンムニッスウ </t>
    </rPh>
    <phoneticPr fontId="1"/>
  </si>
  <si>
    <t>分</t>
    <rPh sb="0" eb="1">
      <t xml:space="preserve">フｎ </t>
    </rPh>
    <phoneticPr fontId="1"/>
  </si>
  <si>
    <t>日</t>
    <rPh sb="0" eb="1">
      <t xml:space="preserve">ニチ </t>
    </rPh>
    <phoneticPr fontId="1"/>
  </si>
  <si>
    <t>月</t>
    <rPh sb="0" eb="1">
      <t xml:space="preserve">ガツ </t>
    </rPh>
    <phoneticPr fontId="1"/>
  </si>
  <si>
    <t>氏名</t>
    <rPh sb="0" eb="2">
      <t xml:space="preserve">シメイ </t>
    </rPh>
    <phoneticPr fontId="1"/>
  </si>
  <si>
    <t>(8h&lt;=)</t>
    <phoneticPr fontId="1"/>
  </si>
  <si>
    <t>備考</t>
    <rPh sb="0" eb="2">
      <t xml:space="preserve">ビコウ </t>
    </rPh>
    <phoneticPr fontId="1"/>
  </si>
  <si>
    <t>合計勤務時間</t>
    <rPh sb="0" eb="2">
      <t xml:space="preserve">ゴウケイ </t>
    </rPh>
    <rPh sb="2" eb="6">
      <t xml:space="preserve">キンムジカｎ </t>
    </rPh>
    <phoneticPr fontId="1"/>
  </si>
  <si>
    <t>合計勤務時間８ｈ以上</t>
    <rPh sb="0" eb="1">
      <t xml:space="preserve">ゴウケイキンムジカｎ </t>
    </rPh>
    <rPh sb="8" eb="10">
      <t xml:space="preserve">イジョウ </t>
    </rPh>
    <phoneticPr fontId="1"/>
  </si>
  <si>
    <t>出勤</t>
    <rPh sb="0" eb="2">
      <t xml:space="preserve">シュッキｎ </t>
    </rPh>
    <phoneticPr fontId="1"/>
  </si>
  <si>
    <t>退勤</t>
    <rPh sb="0" eb="2">
      <t xml:space="preserve">タイキｎ </t>
    </rPh>
    <phoneticPr fontId="1"/>
  </si>
  <si>
    <t>日付確認用</t>
    <rPh sb="0" eb="5">
      <t xml:space="preserve">ヒヅケカクニンヨウ </t>
    </rPh>
    <phoneticPr fontId="1"/>
  </si>
  <si>
    <t>残業</t>
    <rPh sb="0" eb="2">
      <t xml:space="preserve">ザンギョウ </t>
    </rPh>
    <phoneticPr fontId="1"/>
  </si>
  <si>
    <t>日付</t>
  </si>
  <si>
    <t>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</si>
</sst>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F400]h:mm:ss\ AM/PM"/>
    <numFmt numFmtId="177" formatCode="h:mm;@"/>
    <numFmt numFmtId="178" formatCode="[mm]"/>
    <numFmt numFmtId="179" formatCode="mm/dd\(aaa\)"/>
  </numFmts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178" fontId="0" fillId="0" borderId="0" xfId="0" applyNumberFormat="1"/>
    <xf numFmtId="179" fontId="0" fillId="0" borderId="0" xfId="0" applyNumberFormat="1"/>
    <xf numFmtId="20" fontId="0" fillId="0" borderId="0" xfId="0" applyNumberFormat="1"/>
    <xf numFmtId="177" fontId="0" fillId="0" borderId="0" xfId="0" applyNumberFormat="1"/>
    <xf numFmtId="176" fontId="0" fillId="0" borderId="0" xfId="0" applyNumberFormat="1"/>
    <xf numFmtId="0" fontId="2" fillId="2" borderId="0" xfId="0" applyFont="1" applyFill="1"/>
    <xf numFmtId="0" fontId="0" fillId="2" borderId="0" xfId="0" applyFill="1"/>
    <xf numFmtId="178" fontId="0" fillId="2" borderId="0" xfId="0" applyNumberFormat="1" applyFill="1"/>
    <xf numFmtId="179" fontId="0" fillId="2" borderId="0" xfId="0" applyNumberFormat="1" applyFill="1"/>
    <xf numFmtId="20" fontId="0" fillId="2" borderId="0" xfId="0" applyNumberFormat="1" applyFill="1"/>
    <xf numFmtId="177" fontId="0" fillId="2" borderId="0" xfId="0" applyNumberFormat="1" applyFill="1"/>
    <xf numFmtId="0" fontId="3" fillId="3" borderId="0" xfId="0" applyFont="1" applyFill="1"/>
    <xf numFmtId="0" fontId="0" fillId="3" borderId="0" xfId="0" applyFill="1"/>
    <xf numFmtId="0" fontId="3" fillId="0" borderId="0" xfId="0" applyFont="1"/>
    <xf numFmtId="49" fontId="0" fillId="0" borderId="0" xfId="0" applyNumberFormat="1"/>
  </cellXfs>
  <cellStyles count="1">
    <cellStyle name="標準" xfId="0" builtinId="0"/>
  </cellStyles>
  <dxfs count="4"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D573C-00D2-6B44-A6BF-CFE9C84B9B18}">
  <sheetPr codeName="Sheet1">
    <pageSetUpPr fitToPage="1"/>
  </sheetPr>
  <dimension ref="A1:Z38"/>
  <sheetViews>
    <sheetView tabSelected="1" workbookViewId="0">
      <selection activeCell="K32" sqref="A2:K32"/>
    </sheetView>
  </sheetViews>
  <sheetFormatPr baseColWidth="10" defaultRowHeight="18"/>
  <cols>
    <col min="1" max="1" width="17.1640625" bestFit="1" customWidth="1"/>
    <col min="4" max="4" width="8.6640625" customWidth="1"/>
    <col min="6" max="6" width="14.33203125" bestFit="1" customWidth="1"/>
    <col min="14" max="14" width="15" bestFit="1" customWidth="1"/>
    <col min="15" max="15" width="14.33203125" bestFit="1" customWidth="1"/>
    <col min="16" max="16" width="15.83203125" bestFit="1" customWidth="1"/>
    <col min="18" max="18" width="17.1640625" bestFit="1" customWidth="1"/>
    <col min="19" max="19" width="13" bestFit="1" customWidth="1"/>
    <col min="24" max="24" width="14.33203125" bestFit="1" customWidth="1"/>
  </cols>
  <sheetData>
    <row r="1" spans="1:26" ht="31">
      <c r="A1" t="s">
        <v>30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6" t="s">
        <v>11</v>
      </c>
      <c r="M1" t="s">
        <v>11</v>
      </c>
      <c r="N1" t="s">
        <v>12</v>
      </c>
      <c r="O1" t="s">
        <v>13</v>
      </c>
      <c r="P1" t="s">
        <v>14</v>
      </c>
      <c r="S1" s="7">
        <f>year</f>
        <v>2000</v>
      </c>
      <c r="T1" s="7" t="s">
        <v>31</v>
      </c>
      <c r="U1" s="7">
        <f>month</f>
        <v>1</v>
      </c>
      <c r="V1" s="7" t="s">
        <v>20</v>
      </c>
      <c r="W1" s="8" t="s">
        <v>21</v>
      </c>
      <c r="X1" s="8" t="str" cm="1">
        <f t="array" aca="1" ref="X1" ca="1">MID(CELL("filename", A1), FIND("]", CELL("filename", A1)) + 1, LEN(CELL("filename", A1)) - FIND("]", CELL("filename", A1)))</f>
        <v>パート</v>
      </c>
      <c r="Y1" s="8"/>
      <c r="Z1" s="8"/>
    </row>
    <row r="2" spans="1:26">
      <c r="B2" s="4"/>
      <c r="C2" s="4"/>
      <c r="D2" s="4"/>
      <c r="E2" s="4"/>
      <c r="J2" s="5"/>
      <c r="L2" s="5">
        <f>IFERROR(CEILING(B2, "0:30"), 0)</f>
        <v>0</v>
      </c>
      <c r="M2" s="5">
        <f>IFERROR(CEILING(D2, "0:30"), 0)</f>
        <v>0</v>
      </c>
      <c r="N2" s="5">
        <f>IFERROR(C2-L2, 0) + IFERROR(E2 - M2, 0)</f>
        <v>0</v>
      </c>
      <c r="O2" s="5">
        <f t="shared" ref="O2:O30" si="0">MIN("8:00", N2)</f>
        <v>0</v>
      </c>
      <c r="P2" s="5">
        <f t="shared" ref="P2:P30" si="1">MAX("8:00", N2) - "8:00"</f>
        <v>0</v>
      </c>
      <c r="S2" s="8"/>
      <c r="T2" s="8"/>
      <c r="U2" s="8"/>
      <c r="V2" s="8"/>
      <c r="W2" s="8"/>
      <c r="X2" s="8"/>
      <c r="Y2" s="8"/>
      <c r="Z2" s="8"/>
    </row>
    <row r="3" spans="1:26">
      <c r="B3" s="4"/>
      <c r="C3" s="4"/>
      <c r="J3" s="4"/>
      <c r="L3" s="5">
        <f t="shared" ref="L3:L30" si="2">IFERROR(CEILING(B3, "0:30"), 0)</f>
        <v>0</v>
      </c>
      <c r="M3" s="5">
        <f t="shared" ref="M3:M30" si="3">IFERROR(CEILING(D3, "0:30"), 0)</f>
        <v>0</v>
      </c>
      <c r="N3" s="5">
        <f t="shared" ref="N3:N30" si="4">IFERROR(C3-L3, 0) + IFERROR(E3 - M3, 0)</f>
        <v>0</v>
      </c>
      <c r="O3" s="5">
        <f t="shared" si="0"/>
        <v>0</v>
      </c>
      <c r="P3" s="5">
        <f t="shared" si="1"/>
        <v>0</v>
      </c>
      <c r="S3" s="13" t="s">
        <v>17</v>
      </c>
      <c r="T3" s="8">
        <f>P38</f>
        <v>0</v>
      </c>
      <c r="U3" s="8" t="s">
        <v>19</v>
      </c>
      <c r="V3" s="8"/>
      <c r="W3" s="8"/>
      <c r="X3" s="8"/>
      <c r="Y3" s="8"/>
      <c r="Z3" s="8"/>
    </row>
    <row r="4" spans="1:26">
      <c r="L4" s="5">
        <f t="shared" si="2"/>
        <v>0</v>
      </c>
      <c r="M4" s="5">
        <f t="shared" si="3"/>
        <v>0</v>
      </c>
      <c r="N4" s="5">
        <f t="shared" si="4"/>
        <v>0</v>
      </c>
      <c r="O4" s="5">
        <f t="shared" si="0"/>
        <v>0</v>
      </c>
      <c r="P4" s="5">
        <f t="shared" si="1"/>
        <v>0</v>
      </c>
      <c r="S4" s="13" t="s">
        <v>24</v>
      </c>
      <c r="T4" s="9">
        <f>SUM($X7:$X40)</f>
        <v>0</v>
      </c>
      <c r="U4" s="8" t="s">
        <v>18</v>
      </c>
      <c r="V4" s="13" t="s">
        <v>25</v>
      </c>
      <c r="W4" s="14"/>
      <c r="X4" s="9">
        <f>SUM($Y7:$Y40)</f>
        <v>0</v>
      </c>
      <c r="Y4" s="8" t="s">
        <v>18</v>
      </c>
      <c r="Z4" s="8"/>
    </row>
    <row r="5" spans="1:26">
      <c r="B5" s="4"/>
      <c r="C5" s="4"/>
      <c r="J5" s="5"/>
      <c r="L5" s="5">
        <f t="shared" si="2"/>
        <v>0</v>
      </c>
      <c r="M5" s="5">
        <f t="shared" si="3"/>
        <v>0</v>
      </c>
      <c r="N5" s="5">
        <f t="shared" si="4"/>
        <v>0</v>
      </c>
      <c r="O5" s="5">
        <f t="shared" si="0"/>
        <v>0</v>
      </c>
      <c r="P5" s="5">
        <f t="shared" si="1"/>
        <v>0</v>
      </c>
      <c r="S5" s="13" t="s">
        <v>16</v>
      </c>
      <c r="T5" s="8">
        <f>COUNTIF(Z7:Z40, "=有給")</f>
        <v>0</v>
      </c>
      <c r="U5" s="8" t="s">
        <v>19</v>
      </c>
      <c r="V5" s="8"/>
      <c r="W5" s="8"/>
      <c r="X5" s="8"/>
      <c r="Y5" s="8"/>
      <c r="Z5" s="8"/>
    </row>
    <row r="6" spans="1:26">
      <c r="B6" s="4"/>
      <c r="C6" s="4"/>
      <c r="E6" s="4"/>
      <c r="J6" s="5"/>
      <c r="L6" s="5">
        <f t="shared" si="2"/>
        <v>0</v>
      </c>
      <c r="M6" s="5">
        <f t="shared" si="3"/>
        <v>0</v>
      </c>
      <c r="N6" s="5">
        <f t="shared" si="4"/>
        <v>0</v>
      </c>
      <c r="O6" s="5">
        <f t="shared" si="0"/>
        <v>0</v>
      </c>
      <c r="P6" s="5">
        <f t="shared" si="1"/>
        <v>0</v>
      </c>
      <c r="R6" t="s">
        <v>28</v>
      </c>
      <c r="S6" s="8"/>
      <c r="T6" s="8" t="s">
        <v>26</v>
      </c>
      <c r="U6" s="8" t="s">
        <v>27</v>
      </c>
      <c r="V6" s="8" t="s">
        <v>26</v>
      </c>
      <c r="W6" s="8" t="s">
        <v>27</v>
      </c>
      <c r="X6" s="8" t="s">
        <v>13</v>
      </c>
      <c r="Y6" s="8" t="s">
        <v>22</v>
      </c>
      <c r="Z6" s="8" t="s">
        <v>23</v>
      </c>
    </row>
    <row r="7" spans="1:26">
      <c r="L7" s="5">
        <f t="shared" si="2"/>
        <v>0</v>
      </c>
      <c r="M7" s="5">
        <f t="shared" si="3"/>
        <v>0</v>
      </c>
      <c r="N7" s="5">
        <f t="shared" si="4"/>
        <v>0</v>
      </c>
      <c r="O7" s="5">
        <f t="shared" si="0"/>
        <v>0</v>
      </c>
      <c r="P7" s="5">
        <f t="shared" si="1"/>
        <v>0</v>
      </c>
      <c r="R7">
        <f t="shared" ref="R7:R35" si="5">A2</f>
        <v>0</v>
      </c>
      <c r="S7" s="10">
        <f t="shared" ref="S7:S35" si="6">DATE($S$1, $U$1-1, 16 + ROW()-7)</f>
        <v>36510</v>
      </c>
      <c r="T7" s="11">
        <f t="shared" ref="T7:T35" si="7">B2</f>
        <v>0</v>
      </c>
      <c r="U7" s="11">
        <f t="shared" ref="U7:U35" si="8">C2</f>
        <v>0</v>
      </c>
      <c r="V7" s="11">
        <f t="shared" ref="V7:V35" si="9">D2</f>
        <v>0</v>
      </c>
      <c r="W7" s="11">
        <f t="shared" ref="W7:W35" si="10">E2</f>
        <v>0</v>
      </c>
      <c r="X7" s="12">
        <f t="shared" ref="X7:X35" si="11">O2</f>
        <v>0</v>
      </c>
      <c r="Y7" s="12">
        <f t="shared" ref="Y7:Y35" si="12">P2</f>
        <v>0</v>
      </c>
      <c r="Z7" s="8"/>
    </row>
    <row r="8" spans="1:26">
      <c r="J8" s="5"/>
      <c r="L8" s="5">
        <f t="shared" si="2"/>
        <v>0</v>
      </c>
      <c r="M8" s="5">
        <f t="shared" si="3"/>
        <v>0</v>
      </c>
      <c r="N8" s="5">
        <f t="shared" si="4"/>
        <v>0</v>
      </c>
      <c r="O8" s="5">
        <f t="shared" si="0"/>
        <v>0</v>
      </c>
      <c r="P8" s="5">
        <f t="shared" si="1"/>
        <v>0</v>
      </c>
      <c r="R8">
        <f t="shared" si="5"/>
        <v>0</v>
      </c>
      <c r="S8" s="10">
        <f t="shared" si="6"/>
        <v>36511</v>
      </c>
      <c r="T8" s="11">
        <f t="shared" si="7"/>
        <v>0</v>
      </c>
      <c r="U8" s="11">
        <f t="shared" si="8"/>
        <v>0</v>
      </c>
      <c r="V8" s="11">
        <f t="shared" si="9"/>
        <v>0</v>
      </c>
      <c r="W8" s="11">
        <f t="shared" si="10"/>
        <v>0</v>
      </c>
      <c r="X8" s="12">
        <f t="shared" si="11"/>
        <v>0</v>
      </c>
      <c r="Y8" s="12">
        <f t="shared" si="12"/>
        <v>0</v>
      </c>
      <c r="Z8" s="8"/>
    </row>
    <row r="9" spans="1:26">
      <c r="B9" s="4"/>
      <c r="C9" s="4"/>
      <c r="D9" s="4"/>
      <c r="E9" s="4"/>
      <c r="J9" s="4"/>
      <c r="L9" s="5">
        <f t="shared" si="2"/>
        <v>0</v>
      </c>
      <c r="M9" s="5">
        <f t="shared" si="3"/>
        <v>0</v>
      </c>
      <c r="N9" s="5">
        <f t="shared" si="4"/>
        <v>0</v>
      </c>
      <c r="O9" s="5">
        <f t="shared" si="0"/>
        <v>0</v>
      </c>
      <c r="P9" s="5">
        <f t="shared" si="1"/>
        <v>0</v>
      </c>
      <c r="R9">
        <f t="shared" si="5"/>
        <v>0</v>
      </c>
      <c r="S9" s="10">
        <f t="shared" si="6"/>
        <v>36512</v>
      </c>
      <c r="T9" s="11">
        <f t="shared" si="7"/>
        <v>0</v>
      </c>
      <c r="U9" s="11">
        <f t="shared" si="8"/>
        <v>0</v>
      </c>
      <c r="V9" s="11">
        <f t="shared" si="9"/>
        <v>0</v>
      </c>
      <c r="W9" s="11">
        <f t="shared" si="10"/>
        <v>0</v>
      </c>
      <c r="X9" s="12">
        <f t="shared" si="11"/>
        <v>0</v>
      </c>
      <c r="Y9" s="12">
        <f t="shared" si="12"/>
        <v>0</v>
      </c>
      <c r="Z9" s="8"/>
    </row>
    <row r="10" spans="1:26">
      <c r="B10" s="4"/>
      <c r="C10" s="4"/>
      <c r="J10" s="4"/>
      <c r="L10" s="5">
        <f t="shared" si="2"/>
        <v>0</v>
      </c>
      <c r="M10" s="5">
        <f t="shared" si="3"/>
        <v>0</v>
      </c>
      <c r="N10" s="5">
        <f t="shared" si="4"/>
        <v>0</v>
      </c>
      <c r="O10" s="5">
        <f t="shared" si="0"/>
        <v>0</v>
      </c>
      <c r="P10" s="5">
        <f t="shared" si="1"/>
        <v>0</v>
      </c>
      <c r="R10">
        <f t="shared" si="5"/>
        <v>0</v>
      </c>
      <c r="S10" s="10">
        <f t="shared" si="6"/>
        <v>36513</v>
      </c>
      <c r="T10" s="11">
        <f t="shared" si="7"/>
        <v>0</v>
      </c>
      <c r="U10" s="11">
        <f t="shared" si="8"/>
        <v>0</v>
      </c>
      <c r="V10" s="11">
        <f t="shared" si="9"/>
        <v>0</v>
      </c>
      <c r="W10" s="11">
        <f t="shared" si="10"/>
        <v>0</v>
      </c>
      <c r="X10" s="12">
        <f t="shared" si="11"/>
        <v>0</v>
      </c>
      <c r="Y10" s="12">
        <f t="shared" si="12"/>
        <v>0</v>
      </c>
      <c r="Z10" s="8"/>
    </row>
    <row r="11" spans="1:26">
      <c r="B11" s="4"/>
      <c r="C11" s="4"/>
      <c r="J11" s="4"/>
      <c r="L11" s="5">
        <f t="shared" si="2"/>
        <v>0</v>
      </c>
      <c r="M11" s="5">
        <f t="shared" si="3"/>
        <v>0</v>
      </c>
      <c r="N11" s="5">
        <f t="shared" si="4"/>
        <v>0</v>
      </c>
      <c r="O11" s="5">
        <f t="shared" si="0"/>
        <v>0</v>
      </c>
      <c r="P11" s="5">
        <f t="shared" si="1"/>
        <v>0</v>
      </c>
      <c r="R11">
        <f t="shared" si="5"/>
        <v>0</v>
      </c>
      <c r="S11" s="10">
        <f t="shared" si="6"/>
        <v>36514</v>
      </c>
      <c r="T11" s="11">
        <f t="shared" si="7"/>
        <v>0</v>
      </c>
      <c r="U11" s="11">
        <f t="shared" si="8"/>
        <v>0</v>
      </c>
      <c r="V11" s="11">
        <f t="shared" si="9"/>
        <v>0</v>
      </c>
      <c r="W11" s="11">
        <f t="shared" si="10"/>
        <v>0</v>
      </c>
      <c r="X11" s="12">
        <f t="shared" si="11"/>
        <v>0</v>
      </c>
      <c r="Y11" s="12">
        <f t="shared" si="12"/>
        <v>0</v>
      </c>
      <c r="Z11" s="8"/>
    </row>
    <row r="12" spans="1:26">
      <c r="B12" s="4"/>
      <c r="J12" s="5"/>
      <c r="L12" s="5">
        <f t="shared" si="2"/>
        <v>0</v>
      </c>
      <c r="M12" s="5">
        <f t="shared" si="3"/>
        <v>0</v>
      </c>
      <c r="N12" s="5">
        <f t="shared" si="4"/>
        <v>0</v>
      </c>
      <c r="O12" s="5">
        <f t="shared" si="0"/>
        <v>0</v>
      </c>
      <c r="P12" s="5">
        <f t="shared" si="1"/>
        <v>0</v>
      </c>
      <c r="R12">
        <f t="shared" si="5"/>
        <v>0</v>
      </c>
      <c r="S12" s="10">
        <f t="shared" si="6"/>
        <v>36515</v>
      </c>
      <c r="T12" s="11">
        <f t="shared" si="7"/>
        <v>0</v>
      </c>
      <c r="U12" s="11">
        <f t="shared" si="8"/>
        <v>0</v>
      </c>
      <c r="V12" s="11">
        <f t="shared" si="9"/>
        <v>0</v>
      </c>
      <c r="W12" s="11">
        <f t="shared" si="10"/>
        <v>0</v>
      </c>
      <c r="X12" s="12">
        <f t="shared" si="11"/>
        <v>0</v>
      </c>
      <c r="Y12" s="12">
        <f t="shared" si="12"/>
        <v>0</v>
      </c>
      <c r="Z12" s="8"/>
    </row>
    <row r="13" spans="1:26">
      <c r="B13" s="4"/>
      <c r="C13" s="4"/>
      <c r="D13" s="4"/>
      <c r="E13" s="4"/>
      <c r="J13" s="5"/>
      <c r="L13" s="5">
        <f t="shared" si="2"/>
        <v>0</v>
      </c>
      <c r="M13" s="5">
        <f t="shared" si="3"/>
        <v>0</v>
      </c>
      <c r="N13" s="5">
        <f t="shared" si="4"/>
        <v>0</v>
      </c>
      <c r="O13" s="5">
        <f t="shared" si="0"/>
        <v>0</v>
      </c>
      <c r="P13" s="5">
        <f t="shared" si="1"/>
        <v>0</v>
      </c>
      <c r="R13">
        <f t="shared" si="5"/>
        <v>0</v>
      </c>
      <c r="S13" s="10">
        <f t="shared" si="6"/>
        <v>36516</v>
      </c>
      <c r="T13" s="11">
        <f t="shared" si="7"/>
        <v>0</v>
      </c>
      <c r="U13" s="11">
        <f t="shared" si="8"/>
        <v>0</v>
      </c>
      <c r="V13" s="11">
        <f t="shared" si="9"/>
        <v>0</v>
      </c>
      <c r="W13" s="11">
        <f t="shared" si="10"/>
        <v>0</v>
      </c>
      <c r="X13" s="12">
        <f t="shared" si="11"/>
        <v>0</v>
      </c>
      <c r="Y13" s="12">
        <f t="shared" si="12"/>
        <v>0</v>
      </c>
      <c r="Z13" s="8"/>
    </row>
    <row r="14" spans="1:26">
      <c r="B14" s="4"/>
      <c r="C14" s="4"/>
      <c r="J14" s="4"/>
      <c r="L14" s="5">
        <f t="shared" si="2"/>
        <v>0</v>
      </c>
      <c r="M14" s="5">
        <f t="shared" si="3"/>
        <v>0</v>
      </c>
      <c r="N14" s="5">
        <f t="shared" si="4"/>
        <v>0</v>
      </c>
      <c r="O14" s="5">
        <f t="shared" si="0"/>
        <v>0</v>
      </c>
      <c r="P14" s="5">
        <f t="shared" si="1"/>
        <v>0</v>
      </c>
      <c r="R14">
        <f t="shared" si="5"/>
        <v>0</v>
      </c>
      <c r="S14" s="10">
        <f t="shared" si="6"/>
        <v>36517</v>
      </c>
      <c r="T14" s="11">
        <f t="shared" si="7"/>
        <v>0</v>
      </c>
      <c r="U14" s="11">
        <f t="shared" si="8"/>
        <v>0</v>
      </c>
      <c r="V14" s="11">
        <f t="shared" si="9"/>
        <v>0</v>
      </c>
      <c r="W14" s="11">
        <f t="shared" si="10"/>
        <v>0</v>
      </c>
      <c r="X14" s="12">
        <f t="shared" si="11"/>
        <v>0</v>
      </c>
      <c r="Y14" s="12">
        <f t="shared" si="12"/>
        <v>0</v>
      </c>
      <c r="Z14" s="8"/>
    </row>
    <row r="15" spans="1:26">
      <c r="J15" s="5"/>
      <c r="L15" s="5">
        <f t="shared" si="2"/>
        <v>0</v>
      </c>
      <c r="M15" s="5">
        <f t="shared" si="3"/>
        <v>0</v>
      </c>
      <c r="N15" s="5">
        <f t="shared" si="4"/>
        <v>0</v>
      </c>
      <c r="O15" s="5">
        <f t="shared" si="0"/>
        <v>0</v>
      </c>
      <c r="P15" s="5">
        <f t="shared" si="1"/>
        <v>0</v>
      </c>
      <c r="R15">
        <f t="shared" si="5"/>
        <v>0</v>
      </c>
      <c r="S15" s="10">
        <f t="shared" si="6"/>
        <v>36518</v>
      </c>
      <c r="T15" s="11">
        <f t="shared" si="7"/>
        <v>0</v>
      </c>
      <c r="U15" s="11">
        <f t="shared" si="8"/>
        <v>0</v>
      </c>
      <c r="V15" s="11">
        <f t="shared" si="9"/>
        <v>0</v>
      </c>
      <c r="W15" s="11">
        <f t="shared" si="10"/>
        <v>0</v>
      </c>
      <c r="X15" s="12">
        <f t="shared" si="11"/>
        <v>0</v>
      </c>
      <c r="Y15" s="12">
        <f t="shared" si="12"/>
        <v>0</v>
      </c>
      <c r="Z15" s="8"/>
    </row>
    <row r="16" spans="1:26">
      <c r="L16" s="5">
        <f t="shared" si="2"/>
        <v>0</v>
      </c>
      <c r="M16" s="5">
        <f t="shared" si="3"/>
        <v>0</v>
      </c>
      <c r="N16" s="5">
        <f t="shared" si="4"/>
        <v>0</v>
      </c>
      <c r="O16" s="5">
        <f t="shared" si="0"/>
        <v>0</v>
      </c>
      <c r="P16" s="5">
        <f t="shared" si="1"/>
        <v>0</v>
      </c>
      <c r="R16">
        <f t="shared" si="5"/>
        <v>0</v>
      </c>
      <c r="S16" s="10">
        <f t="shared" si="6"/>
        <v>36519</v>
      </c>
      <c r="T16" s="11">
        <f t="shared" si="7"/>
        <v>0</v>
      </c>
      <c r="U16" s="11">
        <f t="shared" si="8"/>
        <v>0</v>
      </c>
      <c r="V16" s="11">
        <f t="shared" si="9"/>
        <v>0</v>
      </c>
      <c r="W16" s="11">
        <f t="shared" si="10"/>
        <v>0</v>
      </c>
      <c r="X16" s="12">
        <f t="shared" si="11"/>
        <v>0</v>
      </c>
      <c r="Y16" s="12">
        <f t="shared" si="12"/>
        <v>0</v>
      </c>
      <c r="Z16" s="8"/>
    </row>
    <row r="17" spans="2:26">
      <c r="L17" s="5">
        <f t="shared" si="2"/>
        <v>0</v>
      </c>
      <c r="M17" s="5">
        <f t="shared" si="3"/>
        <v>0</v>
      </c>
      <c r="N17" s="5">
        <f t="shared" si="4"/>
        <v>0</v>
      </c>
      <c r="O17" s="5">
        <f t="shared" si="0"/>
        <v>0</v>
      </c>
      <c r="P17" s="5">
        <f t="shared" si="1"/>
        <v>0</v>
      </c>
      <c r="R17">
        <f t="shared" si="5"/>
        <v>0</v>
      </c>
      <c r="S17" s="10">
        <f t="shared" si="6"/>
        <v>36520</v>
      </c>
      <c r="T17" s="11">
        <f t="shared" si="7"/>
        <v>0</v>
      </c>
      <c r="U17" s="11">
        <f t="shared" si="8"/>
        <v>0</v>
      </c>
      <c r="V17" s="11">
        <f t="shared" si="9"/>
        <v>0</v>
      </c>
      <c r="W17" s="11">
        <f t="shared" si="10"/>
        <v>0</v>
      </c>
      <c r="X17" s="12">
        <f t="shared" si="11"/>
        <v>0</v>
      </c>
      <c r="Y17" s="12">
        <f t="shared" si="12"/>
        <v>0</v>
      </c>
      <c r="Z17" s="8"/>
    </row>
    <row r="18" spans="2:26">
      <c r="L18" s="5">
        <f t="shared" si="2"/>
        <v>0</v>
      </c>
      <c r="M18" s="5">
        <f t="shared" si="3"/>
        <v>0</v>
      </c>
      <c r="N18" s="5">
        <f t="shared" si="4"/>
        <v>0</v>
      </c>
      <c r="O18" s="5">
        <f t="shared" si="0"/>
        <v>0</v>
      </c>
      <c r="P18" s="5">
        <f t="shared" si="1"/>
        <v>0</v>
      </c>
      <c r="R18">
        <f t="shared" si="5"/>
        <v>0</v>
      </c>
      <c r="S18" s="10">
        <f t="shared" si="6"/>
        <v>36521</v>
      </c>
      <c r="T18" s="11">
        <f t="shared" si="7"/>
        <v>0</v>
      </c>
      <c r="U18" s="11">
        <f t="shared" si="8"/>
        <v>0</v>
      </c>
      <c r="V18" s="11">
        <f t="shared" si="9"/>
        <v>0</v>
      </c>
      <c r="W18" s="11">
        <f t="shared" si="10"/>
        <v>0</v>
      </c>
      <c r="X18" s="12">
        <f t="shared" si="11"/>
        <v>0</v>
      </c>
      <c r="Y18" s="12">
        <f t="shared" si="12"/>
        <v>0</v>
      </c>
      <c r="Z18" s="8"/>
    </row>
    <row r="19" spans="2:26">
      <c r="L19" s="5">
        <f t="shared" si="2"/>
        <v>0</v>
      </c>
      <c r="M19" s="5">
        <f t="shared" si="3"/>
        <v>0</v>
      </c>
      <c r="N19" s="5">
        <f t="shared" si="4"/>
        <v>0</v>
      </c>
      <c r="O19" s="5">
        <f t="shared" si="0"/>
        <v>0</v>
      </c>
      <c r="P19" s="5">
        <f t="shared" si="1"/>
        <v>0</v>
      </c>
      <c r="R19">
        <f t="shared" si="5"/>
        <v>0</v>
      </c>
      <c r="S19" s="10">
        <f t="shared" si="6"/>
        <v>36522</v>
      </c>
      <c r="T19" s="11">
        <f t="shared" si="7"/>
        <v>0</v>
      </c>
      <c r="U19" s="11">
        <f t="shared" si="8"/>
        <v>0</v>
      </c>
      <c r="V19" s="11">
        <f t="shared" si="9"/>
        <v>0</v>
      </c>
      <c r="W19" s="11">
        <f t="shared" si="10"/>
        <v>0</v>
      </c>
      <c r="X19" s="12">
        <f t="shared" si="11"/>
        <v>0</v>
      </c>
      <c r="Y19" s="12">
        <f t="shared" si="12"/>
        <v>0</v>
      </c>
      <c r="Z19" s="8"/>
    </row>
    <row r="20" spans="2:26">
      <c r="J20" s="5"/>
      <c r="L20" s="5">
        <f t="shared" si="2"/>
        <v>0</v>
      </c>
      <c r="M20" s="5">
        <f t="shared" si="3"/>
        <v>0</v>
      </c>
      <c r="N20" s="5">
        <f t="shared" si="4"/>
        <v>0</v>
      </c>
      <c r="O20" s="5">
        <f t="shared" si="0"/>
        <v>0</v>
      </c>
      <c r="P20" s="5">
        <f t="shared" si="1"/>
        <v>0</v>
      </c>
      <c r="R20">
        <f t="shared" si="5"/>
        <v>0</v>
      </c>
      <c r="S20" s="10">
        <f t="shared" si="6"/>
        <v>36523</v>
      </c>
      <c r="T20" s="11">
        <f t="shared" si="7"/>
        <v>0</v>
      </c>
      <c r="U20" s="11">
        <f t="shared" si="8"/>
        <v>0</v>
      </c>
      <c r="V20" s="11">
        <f t="shared" si="9"/>
        <v>0</v>
      </c>
      <c r="W20" s="11">
        <f t="shared" si="10"/>
        <v>0</v>
      </c>
      <c r="X20" s="12">
        <f t="shared" si="11"/>
        <v>0</v>
      </c>
      <c r="Y20" s="12">
        <f t="shared" si="12"/>
        <v>0</v>
      </c>
      <c r="Z20" s="8"/>
    </row>
    <row r="21" spans="2:26">
      <c r="L21" s="5">
        <f t="shared" si="2"/>
        <v>0</v>
      </c>
      <c r="M21" s="5">
        <f t="shared" si="3"/>
        <v>0</v>
      </c>
      <c r="N21" s="5">
        <f t="shared" si="4"/>
        <v>0</v>
      </c>
      <c r="O21" s="5">
        <f t="shared" si="0"/>
        <v>0</v>
      </c>
      <c r="P21" s="5">
        <f t="shared" si="1"/>
        <v>0</v>
      </c>
      <c r="R21">
        <f t="shared" si="5"/>
        <v>0</v>
      </c>
      <c r="S21" s="10">
        <f t="shared" si="6"/>
        <v>36524</v>
      </c>
      <c r="T21" s="11">
        <f t="shared" si="7"/>
        <v>0</v>
      </c>
      <c r="U21" s="11">
        <f t="shared" si="8"/>
        <v>0</v>
      </c>
      <c r="V21" s="11">
        <f t="shared" si="9"/>
        <v>0</v>
      </c>
      <c r="W21" s="11">
        <f t="shared" si="10"/>
        <v>0</v>
      </c>
      <c r="X21" s="12">
        <f t="shared" si="11"/>
        <v>0</v>
      </c>
      <c r="Y21" s="12">
        <f t="shared" si="12"/>
        <v>0</v>
      </c>
      <c r="Z21" s="8"/>
    </row>
    <row r="22" spans="2:26">
      <c r="J22" s="5"/>
      <c r="L22" s="5">
        <f t="shared" si="2"/>
        <v>0</v>
      </c>
      <c r="M22" s="5">
        <f t="shared" si="3"/>
        <v>0</v>
      </c>
      <c r="N22" s="5">
        <f t="shared" si="4"/>
        <v>0</v>
      </c>
      <c r="O22" s="5">
        <f t="shared" si="0"/>
        <v>0</v>
      </c>
      <c r="P22" s="5">
        <f t="shared" si="1"/>
        <v>0</v>
      </c>
      <c r="R22">
        <f t="shared" si="5"/>
        <v>0</v>
      </c>
      <c r="S22" s="10">
        <f t="shared" si="6"/>
        <v>36525</v>
      </c>
      <c r="T22" s="11">
        <f t="shared" si="7"/>
        <v>0</v>
      </c>
      <c r="U22" s="11">
        <f t="shared" si="8"/>
        <v>0</v>
      </c>
      <c r="V22" s="11">
        <f t="shared" si="9"/>
        <v>0</v>
      </c>
      <c r="W22" s="11">
        <f t="shared" si="10"/>
        <v>0</v>
      </c>
      <c r="X22" s="12">
        <f t="shared" si="11"/>
        <v>0</v>
      </c>
      <c r="Y22" s="12">
        <f t="shared" si="12"/>
        <v>0</v>
      </c>
      <c r="Z22" s="8"/>
    </row>
    <row r="23" spans="2:26">
      <c r="B23" s="4"/>
      <c r="C23" s="4"/>
      <c r="E23" s="4"/>
      <c r="J23" s="5"/>
      <c r="L23" s="5">
        <f t="shared" si="2"/>
        <v>0</v>
      </c>
      <c r="M23" s="5">
        <f t="shared" si="3"/>
        <v>0</v>
      </c>
      <c r="N23" s="5">
        <f t="shared" si="4"/>
        <v>0</v>
      </c>
      <c r="O23" s="5">
        <f t="shared" si="0"/>
        <v>0</v>
      </c>
      <c r="P23" s="5">
        <f t="shared" si="1"/>
        <v>0</v>
      </c>
      <c r="R23">
        <f t="shared" si="5"/>
        <v>0</v>
      </c>
      <c r="S23" s="10">
        <f t="shared" si="6"/>
        <v>36526</v>
      </c>
      <c r="T23" s="11">
        <f t="shared" si="7"/>
        <v>0</v>
      </c>
      <c r="U23" s="11">
        <f t="shared" si="8"/>
        <v>0</v>
      </c>
      <c r="V23" s="11">
        <f t="shared" si="9"/>
        <v>0</v>
      </c>
      <c r="W23" s="11">
        <f t="shared" si="10"/>
        <v>0</v>
      </c>
      <c r="X23" s="12">
        <f t="shared" si="11"/>
        <v>0</v>
      </c>
      <c r="Y23" s="12">
        <f t="shared" si="12"/>
        <v>0</v>
      </c>
      <c r="Z23" s="8"/>
    </row>
    <row r="24" spans="2:26">
      <c r="C24" s="4"/>
      <c r="J24" s="4"/>
      <c r="L24" s="5">
        <f t="shared" si="2"/>
        <v>0</v>
      </c>
      <c r="M24" s="5">
        <f t="shared" si="3"/>
        <v>0</v>
      </c>
      <c r="N24" s="5">
        <f t="shared" si="4"/>
        <v>0</v>
      </c>
      <c r="O24" s="5">
        <f t="shared" si="0"/>
        <v>0</v>
      </c>
      <c r="P24" s="5">
        <f t="shared" si="1"/>
        <v>0</v>
      </c>
      <c r="R24">
        <f t="shared" si="5"/>
        <v>0</v>
      </c>
      <c r="S24" s="10">
        <f t="shared" si="6"/>
        <v>36527</v>
      </c>
      <c r="T24" s="11">
        <f t="shared" si="7"/>
        <v>0</v>
      </c>
      <c r="U24" s="11">
        <f t="shared" si="8"/>
        <v>0</v>
      </c>
      <c r="V24" s="11">
        <f t="shared" si="9"/>
        <v>0</v>
      </c>
      <c r="W24" s="11">
        <f t="shared" si="10"/>
        <v>0</v>
      </c>
      <c r="X24" s="12">
        <f t="shared" si="11"/>
        <v>0</v>
      </c>
      <c r="Y24" s="12">
        <f t="shared" si="12"/>
        <v>0</v>
      </c>
      <c r="Z24" s="8"/>
    </row>
    <row r="25" spans="2:26">
      <c r="B25" s="4"/>
      <c r="C25" s="4"/>
      <c r="J25" s="4"/>
      <c r="L25" s="5">
        <f t="shared" si="2"/>
        <v>0</v>
      </c>
      <c r="M25" s="5">
        <f t="shared" si="3"/>
        <v>0</v>
      </c>
      <c r="N25" s="5">
        <f t="shared" si="4"/>
        <v>0</v>
      </c>
      <c r="O25" s="5">
        <f t="shared" si="0"/>
        <v>0</v>
      </c>
      <c r="P25" s="5">
        <f t="shared" si="1"/>
        <v>0</v>
      </c>
      <c r="R25">
        <f t="shared" si="5"/>
        <v>0</v>
      </c>
      <c r="S25" s="10">
        <f t="shared" si="6"/>
        <v>36528</v>
      </c>
      <c r="T25" s="11">
        <f t="shared" si="7"/>
        <v>0</v>
      </c>
      <c r="U25" s="11">
        <f t="shared" si="8"/>
        <v>0</v>
      </c>
      <c r="V25" s="11">
        <f t="shared" si="9"/>
        <v>0</v>
      </c>
      <c r="W25" s="11">
        <f t="shared" si="10"/>
        <v>0</v>
      </c>
      <c r="X25" s="12">
        <f t="shared" si="11"/>
        <v>0</v>
      </c>
      <c r="Y25" s="12">
        <f t="shared" si="12"/>
        <v>0</v>
      </c>
      <c r="Z25" s="8"/>
    </row>
    <row r="26" spans="2:26">
      <c r="J26" s="5"/>
      <c r="L26" s="5">
        <f t="shared" si="2"/>
        <v>0</v>
      </c>
      <c r="M26" s="5">
        <f t="shared" si="3"/>
        <v>0</v>
      </c>
      <c r="N26" s="5">
        <f t="shared" si="4"/>
        <v>0</v>
      </c>
      <c r="O26" s="5">
        <f t="shared" si="0"/>
        <v>0</v>
      </c>
      <c r="P26" s="5">
        <f t="shared" si="1"/>
        <v>0</v>
      </c>
      <c r="R26">
        <f t="shared" si="5"/>
        <v>0</v>
      </c>
      <c r="S26" s="10">
        <f t="shared" si="6"/>
        <v>36529</v>
      </c>
      <c r="T26" s="11">
        <f t="shared" si="7"/>
        <v>0</v>
      </c>
      <c r="U26" s="11">
        <f t="shared" si="8"/>
        <v>0</v>
      </c>
      <c r="V26" s="11">
        <f t="shared" si="9"/>
        <v>0</v>
      </c>
      <c r="W26" s="11">
        <f t="shared" si="10"/>
        <v>0</v>
      </c>
      <c r="X26" s="12">
        <f t="shared" si="11"/>
        <v>0</v>
      </c>
      <c r="Y26" s="12">
        <f t="shared" si="12"/>
        <v>0</v>
      </c>
      <c r="Z26" s="8"/>
    </row>
    <row r="27" spans="2:26">
      <c r="J27" s="5"/>
      <c r="L27" s="5">
        <f t="shared" si="2"/>
        <v>0</v>
      </c>
      <c r="M27" s="5">
        <f t="shared" si="3"/>
        <v>0</v>
      </c>
      <c r="N27" s="5">
        <f t="shared" si="4"/>
        <v>0</v>
      </c>
      <c r="O27" s="5">
        <f t="shared" si="0"/>
        <v>0</v>
      </c>
      <c r="P27" s="5">
        <f t="shared" si="1"/>
        <v>0</v>
      </c>
      <c r="R27">
        <f t="shared" si="5"/>
        <v>0</v>
      </c>
      <c r="S27" s="10">
        <f t="shared" si="6"/>
        <v>36530</v>
      </c>
      <c r="T27" s="11">
        <f t="shared" si="7"/>
        <v>0</v>
      </c>
      <c r="U27" s="11">
        <f t="shared" si="8"/>
        <v>0</v>
      </c>
      <c r="V27" s="11">
        <f t="shared" si="9"/>
        <v>0</v>
      </c>
      <c r="W27" s="11">
        <f t="shared" si="10"/>
        <v>0</v>
      </c>
      <c r="X27" s="12">
        <f t="shared" si="11"/>
        <v>0</v>
      </c>
      <c r="Y27" s="12">
        <f t="shared" si="12"/>
        <v>0</v>
      </c>
      <c r="Z27" s="8"/>
    </row>
    <row r="28" spans="2:26">
      <c r="L28" s="5">
        <f t="shared" si="2"/>
        <v>0</v>
      </c>
      <c r="M28" s="5">
        <f t="shared" si="3"/>
        <v>0</v>
      </c>
      <c r="N28" s="5">
        <f t="shared" si="4"/>
        <v>0</v>
      </c>
      <c r="O28" s="5">
        <f t="shared" si="0"/>
        <v>0</v>
      </c>
      <c r="P28" s="5">
        <f t="shared" si="1"/>
        <v>0</v>
      </c>
      <c r="R28">
        <f t="shared" si="5"/>
        <v>0</v>
      </c>
      <c r="S28" s="10">
        <f t="shared" si="6"/>
        <v>36531</v>
      </c>
      <c r="T28" s="11">
        <f t="shared" si="7"/>
        <v>0</v>
      </c>
      <c r="U28" s="11">
        <f t="shared" si="8"/>
        <v>0</v>
      </c>
      <c r="V28" s="11">
        <f t="shared" si="9"/>
        <v>0</v>
      </c>
      <c r="W28" s="11">
        <f t="shared" si="10"/>
        <v>0</v>
      </c>
      <c r="X28" s="12">
        <f t="shared" si="11"/>
        <v>0</v>
      </c>
      <c r="Y28" s="12">
        <f t="shared" si="12"/>
        <v>0</v>
      </c>
      <c r="Z28" s="8"/>
    </row>
    <row r="29" spans="2:26">
      <c r="B29" s="4"/>
      <c r="C29" s="4"/>
      <c r="J29" s="5"/>
      <c r="L29" s="5">
        <f t="shared" si="2"/>
        <v>0</v>
      </c>
      <c r="M29" s="5">
        <f t="shared" si="3"/>
        <v>0</v>
      </c>
      <c r="N29" s="5">
        <f t="shared" si="4"/>
        <v>0</v>
      </c>
      <c r="O29" s="5">
        <f t="shared" si="0"/>
        <v>0</v>
      </c>
      <c r="P29" s="5">
        <f t="shared" si="1"/>
        <v>0</v>
      </c>
      <c r="R29">
        <f t="shared" si="5"/>
        <v>0</v>
      </c>
      <c r="S29" s="10">
        <f t="shared" si="6"/>
        <v>36532</v>
      </c>
      <c r="T29" s="11">
        <f t="shared" si="7"/>
        <v>0</v>
      </c>
      <c r="U29" s="11">
        <f t="shared" si="8"/>
        <v>0</v>
      </c>
      <c r="V29" s="11">
        <f t="shared" si="9"/>
        <v>0</v>
      </c>
      <c r="W29" s="11">
        <f t="shared" si="10"/>
        <v>0</v>
      </c>
      <c r="X29" s="12">
        <f t="shared" si="11"/>
        <v>0</v>
      </c>
      <c r="Y29" s="12">
        <f t="shared" si="12"/>
        <v>0</v>
      </c>
      <c r="Z29" s="8"/>
    </row>
    <row r="30" spans="2:26">
      <c r="B30" s="4"/>
      <c r="C30" s="4"/>
      <c r="J30" s="5"/>
      <c r="L30" s="5">
        <f t="shared" si="2"/>
        <v>0</v>
      </c>
      <c r="M30" s="5">
        <f t="shared" si="3"/>
        <v>0</v>
      </c>
      <c r="N30" s="5">
        <f t="shared" si="4"/>
        <v>0</v>
      </c>
      <c r="O30" s="5">
        <f t="shared" si="0"/>
        <v>0</v>
      </c>
      <c r="P30" s="5">
        <f t="shared" si="1"/>
        <v>0</v>
      </c>
      <c r="R30">
        <f t="shared" si="5"/>
        <v>0</v>
      </c>
      <c r="S30" s="10">
        <f t="shared" si="6"/>
        <v>36533</v>
      </c>
      <c r="T30" s="11">
        <f t="shared" si="7"/>
        <v>0</v>
      </c>
      <c r="U30" s="11">
        <f t="shared" si="8"/>
        <v>0</v>
      </c>
      <c r="V30" s="11">
        <f t="shared" si="9"/>
        <v>0</v>
      </c>
      <c r="W30" s="11">
        <f t="shared" si="10"/>
        <v>0</v>
      </c>
      <c r="X30" s="12">
        <f t="shared" si="11"/>
        <v>0</v>
      </c>
      <c r="Y30" s="12">
        <f t="shared" si="12"/>
        <v>0</v>
      </c>
      <c r="Z30" s="8"/>
    </row>
    <row r="31" spans="2:26">
      <c r="L31" s="6"/>
      <c r="R31">
        <f t="shared" si="5"/>
        <v>0</v>
      </c>
      <c r="S31" s="10">
        <f t="shared" si="6"/>
        <v>36534</v>
      </c>
      <c r="T31" s="11">
        <f t="shared" si="7"/>
        <v>0</v>
      </c>
      <c r="U31" s="11">
        <f t="shared" si="8"/>
        <v>0</v>
      </c>
      <c r="V31" s="11">
        <f t="shared" si="9"/>
        <v>0</v>
      </c>
      <c r="W31" s="11">
        <f t="shared" si="10"/>
        <v>0</v>
      </c>
      <c r="X31" s="12">
        <f t="shared" si="11"/>
        <v>0</v>
      </c>
      <c r="Y31" s="12">
        <f t="shared" si="12"/>
        <v>0</v>
      </c>
      <c r="Z31" s="8"/>
    </row>
    <row r="32" spans="2:26">
      <c r="L32" s="6"/>
      <c r="R32">
        <f t="shared" si="5"/>
        <v>0</v>
      </c>
      <c r="S32" s="10">
        <f t="shared" si="6"/>
        <v>36535</v>
      </c>
      <c r="T32" s="11">
        <f t="shared" si="7"/>
        <v>0</v>
      </c>
      <c r="U32" s="11">
        <f t="shared" si="8"/>
        <v>0</v>
      </c>
      <c r="V32" s="11">
        <f t="shared" si="9"/>
        <v>0</v>
      </c>
      <c r="W32" s="11">
        <f t="shared" si="10"/>
        <v>0</v>
      </c>
      <c r="X32" s="12">
        <f t="shared" si="11"/>
        <v>0</v>
      </c>
      <c r="Y32" s="12">
        <f t="shared" si="12"/>
        <v>0</v>
      </c>
      <c r="Z32" s="8"/>
    </row>
    <row r="33" spans="15:26">
      <c r="R33">
        <f t="shared" si="5"/>
        <v>0</v>
      </c>
      <c r="S33" s="10">
        <f t="shared" si="6"/>
        <v>36536</v>
      </c>
      <c r="T33" s="11">
        <f t="shared" si="7"/>
        <v>0</v>
      </c>
      <c r="U33" s="11">
        <f t="shared" si="8"/>
        <v>0</v>
      </c>
      <c r="V33" s="11">
        <f t="shared" si="9"/>
        <v>0</v>
      </c>
      <c r="W33" s="11">
        <f t="shared" si="10"/>
        <v>0</v>
      </c>
      <c r="X33" s="12">
        <f t="shared" si="11"/>
        <v>0</v>
      </c>
      <c r="Y33" s="12">
        <f t="shared" si="12"/>
        <v>0</v>
      </c>
      <c r="Z33" s="8"/>
    </row>
    <row r="34" spans="15:26">
      <c r="R34">
        <f t="shared" si="5"/>
        <v>0</v>
      </c>
      <c r="S34" s="10">
        <f t="shared" si="6"/>
        <v>36537</v>
      </c>
      <c r="T34" s="11">
        <f t="shared" si="7"/>
        <v>0</v>
      </c>
      <c r="U34" s="11">
        <f t="shared" si="8"/>
        <v>0</v>
      </c>
      <c r="V34" s="11">
        <f t="shared" si="9"/>
        <v>0</v>
      </c>
      <c r="W34" s="11">
        <f t="shared" si="10"/>
        <v>0</v>
      </c>
      <c r="X34" s="12">
        <f t="shared" si="11"/>
        <v>0</v>
      </c>
      <c r="Y34" s="12">
        <f t="shared" si="12"/>
        <v>0</v>
      </c>
      <c r="Z34" s="8"/>
    </row>
    <row r="35" spans="15:26">
      <c r="R35">
        <f t="shared" si="5"/>
        <v>0</v>
      </c>
      <c r="S35" s="10">
        <f t="shared" si="6"/>
        <v>36538</v>
      </c>
      <c r="T35" s="11">
        <f t="shared" si="7"/>
        <v>0</v>
      </c>
      <c r="U35" s="11">
        <f t="shared" si="8"/>
        <v>0</v>
      </c>
      <c r="V35" s="11">
        <f t="shared" si="9"/>
        <v>0</v>
      </c>
      <c r="W35" s="11">
        <f t="shared" si="10"/>
        <v>0</v>
      </c>
      <c r="X35" s="12">
        <f t="shared" si="11"/>
        <v>0</v>
      </c>
      <c r="Y35" s="12">
        <f t="shared" si="12"/>
        <v>0</v>
      </c>
      <c r="Z35" s="8"/>
    </row>
    <row r="36" spans="15:26">
      <c r="S36" s="10">
        <f t="shared" ref="S36:S37" si="13">DATE($S$1, $U$1-1, 16 + ROW()-7)</f>
        <v>36539</v>
      </c>
      <c r="T36" s="11">
        <f t="shared" ref="T36:W36" si="14">B31</f>
        <v>0</v>
      </c>
      <c r="U36" s="11">
        <f t="shared" si="14"/>
        <v>0</v>
      </c>
      <c r="V36" s="11">
        <f t="shared" si="14"/>
        <v>0</v>
      </c>
      <c r="W36" s="11">
        <f t="shared" si="14"/>
        <v>0</v>
      </c>
      <c r="X36" s="12">
        <f t="shared" ref="X36:Y36" si="15">O31</f>
        <v>0</v>
      </c>
      <c r="Y36" s="12">
        <f t="shared" si="15"/>
        <v>0</v>
      </c>
      <c r="Z36" s="8"/>
    </row>
    <row r="37" spans="15:26">
      <c r="O37" s="2">
        <f>SUM(O2:O35)</f>
        <v>0</v>
      </c>
      <c r="P37" s="2">
        <f>SUM(P2:P35)</f>
        <v>0</v>
      </c>
      <c r="S37" s="10">
        <f t="shared" si="13"/>
        <v>36540</v>
      </c>
      <c r="T37" s="11">
        <f t="shared" ref="T37:W37" si="16">B32</f>
        <v>0</v>
      </c>
      <c r="U37" s="11">
        <f t="shared" si="16"/>
        <v>0</v>
      </c>
      <c r="V37" s="11">
        <f t="shared" si="16"/>
        <v>0</v>
      </c>
      <c r="W37" s="11">
        <f t="shared" si="16"/>
        <v>0</v>
      </c>
      <c r="X37" s="12">
        <f t="shared" ref="X37:Y37" si="17">O32</f>
        <v>0</v>
      </c>
      <c r="Y37" s="12">
        <f t="shared" si="17"/>
        <v>0</v>
      </c>
      <c r="Z37" s="8"/>
    </row>
    <row r="38" spans="15:26">
      <c r="O38" s="6" t="s">
        <v>17</v>
      </c>
      <c r="P38">
        <f>COUNTIF($N$2:$N$35,"&gt;0")</f>
        <v>0</v>
      </c>
      <c r="S38" s="8"/>
      <c r="T38" s="8"/>
      <c r="U38" s="8"/>
      <c r="V38" s="8"/>
      <c r="W38" s="8"/>
      <c r="X38" s="8"/>
      <c r="Y38" s="8"/>
      <c r="Z38" s="8"/>
    </row>
  </sheetData>
  <phoneticPr fontId="1"/>
  <conditionalFormatting sqref="L2:P30">
    <cfRule type="cellIs" dxfId="3" priority="2" stopIfTrue="1" operator="equal">
      <formula>0</formula>
    </cfRule>
  </conditionalFormatting>
  <conditionalFormatting sqref="X7:Y37">
    <cfRule type="cellIs" dxfId="2" priority="1" stopIfTrue="1" operator="equal">
      <formula>0</formula>
    </cfRule>
  </conditionalFormatting>
  <dataValidations count="1">
    <dataValidation type="list" allowBlank="1" showInputMessage="1" showErrorMessage="1" sqref="Z7:Z37" xr:uid="{254A57E5-3A44-7049-AD8B-B51A6208DAE2}">
      <formula1>"有給, 早退, 遅刻, 欠勤, AM有給, PM有給"</formula1>
    </dataValidation>
  </dataValidations>
  <pageMargins left="0.7" right="0.7" top="0.75" bottom="0.75" header="0.3" footer="0.3"/>
  <pageSetup paperSize="9" scale="26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7191B-51E0-9D4C-B850-93714017914B}">
  <sheetPr codeName="Sheet2">
    <pageSetUpPr fitToPage="1"/>
  </sheetPr>
  <dimension ref="A1:Y38"/>
  <sheetViews>
    <sheetView workbookViewId="0">
      <selection activeCell="K30" sqref="A2:K30"/>
    </sheetView>
  </sheetViews>
  <sheetFormatPr baseColWidth="10" defaultRowHeight="18"/>
  <cols>
    <col min="1" max="1" width="17.1640625" bestFit="1" customWidth="1"/>
    <col min="4" max="4" width="8.6640625" customWidth="1"/>
    <col min="6" max="6" width="14.33203125" bestFit="1" customWidth="1"/>
    <col min="14" max="14" width="15" bestFit="1" customWidth="1"/>
    <col min="15" max="15" width="14.33203125" bestFit="1" customWidth="1"/>
    <col min="16" max="16" width="15.83203125" bestFit="1" customWidth="1"/>
    <col min="18" max="18" width="17.1640625" bestFit="1" customWidth="1"/>
    <col min="19" max="19" width="13" bestFit="1" customWidth="1"/>
    <col min="24" max="24" width="14.33203125" bestFit="1" customWidth="1"/>
  </cols>
  <sheetData>
    <row r="1" spans="1:25" ht="3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6" t="s">
        <v>11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S1" s="1">
        <f>year</f>
        <v>2000</v>
      </c>
      <c r="T1" s="1" t="s">
        <v>31</v>
      </c>
      <c r="U1" s="1">
        <f>month</f>
        <v>1</v>
      </c>
      <c r="V1" s="1" t="s">
        <v>20</v>
      </c>
      <c r="W1" t="s">
        <v>21</v>
      </c>
      <c r="X1" t="str" cm="1">
        <f t="array" aca="1" ref="X1" ca="1">MID(CELL("filename", A1), FIND("]", CELL("filename", A1)) + 1, LEN(CELL("filename", A1)) - FIND("]", CELL("filename", A1)))</f>
        <v>正社員</v>
      </c>
    </row>
    <row r="2" spans="1:25">
      <c r="L2" s="5">
        <f>IFERROR(CEILING(B2, "0:30"), 0)</f>
        <v>0</v>
      </c>
      <c r="M2" s="5">
        <f>IFERROR(CEILING(D2, "0:30"), 0)</f>
        <v>0</v>
      </c>
      <c r="N2" s="5">
        <f>IFERROR(C2-L2, 0) + IFERROR(E2 - M2, 0)</f>
        <v>0</v>
      </c>
      <c r="O2" s="5">
        <f t="shared" ref="O2:O30" si="0">MIN("8:00", N2)</f>
        <v>0</v>
      </c>
      <c r="P2" s="5">
        <f t="shared" ref="P2:P30" si="1">MAX("8:00", N2) - "8:00"</f>
        <v>0</v>
      </c>
      <c r="Q2" s="5">
        <f>MAX(IFERROR(IF(C2&gt;"19:00",C2- "19:00",E2- "19:00"), 0), 0)</f>
        <v>0</v>
      </c>
    </row>
    <row r="3" spans="1:25">
      <c r="L3" s="5">
        <f t="shared" ref="L3:L30" si="2">IFERROR(CEILING(B3, "0:30"), 0)</f>
        <v>0</v>
      </c>
      <c r="M3" s="5">
        <f t="shared" ref="M3:M30" si="3">IFERROR(CEILING(D3, "0:30"), 0)</f>
        <v>0</v>
      </c>
      <c r="N3" s="5">
        <f t="shared" ref="N3:N30" si="4">IFERROR(C3-L3, 0) + IFERROR(E3 - M3, 0)</f>
        <v>0</v>
      </c>
      <c r="O3" s="5">
        <f t="shared" si="0"/>
        <v>0</v>
      </c>
      <c r="P3" s="5">
        <f t="shared" si="1"/>
        <v>0</v>
      </c>
      <c r="Q3" s="5">
        <f t="shared" ref="Q3:Q30" si="5">MAX(IFERROR(IF(C3&gt;"19:00",C3- "19:00",E3- "19:00"), 0), 0)</f>
        <v>0</v>
      </c>
      <c r="S3" s="13" t="s">
        <v>17</v>
      </c>
      <c r="T3">
        <f>P37</f>
        <v>0</v>
      </c>
      <c r="U3" t="s">
        <v>19</v>
      </c>
    </row>
    <row r="4" spans="1:25">
      <c r="J4" s="5"/>
      <c r="L4" s="5">
        <f t="shared" si="2"/>
        <v>0</v>
      </c>
      <c r="M4" s="5">
        <f t="shared" si="3"/>
        <v>0</v>
      </c>
      <c r="N4" s="5">
        <f t="shared" si="4"/>
        <v>0</v>
      </c>
      <c r="O4" s="5">
        <f t="shared" si="0"/>
        <v>0</v>
      </c>
      <c r="P4" s="5">
        <f t="shared" si="1"/>
        <v>0</v>
      </c>
      <c r="Q4" s="5">
        <f t="shared" si="5"/>
        <v>0</v>
      </c>
      <c r="S4" s="13" t="s">
        <v>29</v>
      </c>
      <c r="T4" s="2">
        <f>SUM($X7:$X40)</f>
        <v>0</v>
      </c>
      <c r="U4" t="s">
        <v>18</v>
      </c>
      <c r="V4" s="15"/>
      <c r="X4" s="2"/>
    </row>
    <row r="5" spans="1:25">
      <c r="J5" s="5"/>
      <c r="L5" s="5">
        <f t="shared" si="2"/>
        <v>0</v>
      </c>
      <c r="M5" s="5">
        <f t="shared" si="3"/>
        <v>0</v>
      </c>
      <c r="N5" s="5">
        <f t="shared" si="4"/>
        <v>0</v>
      </c>
      <c r="O5" s="5">
        <f t="shared" si="0"/>
        <v>0</v>
      </c>
      <c r="P5" s="5">
        <f t="shared" si="1"/>
        <v>0</v>
      </c>
      <c r="Q5" s="5">
        <f t="shared" si="5"/>
        <v>0</v>
      </c>
      <c r="S5" s="13" t="s">
        <v>16</v>
      </c>
      <c r="T5">
        <f>COUNTIF(Y7:Y40, "=有給")+COUNTIF(Y7:Y40, "=AM有給")*0.5 + COUNTIF(Y7:Y40, "PM有給")*0.5</f>
        <v>0</v>
      </c>
      <c r="U5" t="s">
        <v>19</v>
      </c>
    </row>
    <row r="6" spans="1:25">
      <c r="J6" s="5"/>
      <c r="L6" s="5">
        <f t="shared" si="2"/>
        <v>0</v>
      </c>
      <c r="M6" s="5">
        <f t="shared" si="3"/>
        <v>0</v>
      </c>
      <c r="N6" s="5">
        <f t="shared" si="4"/>
        <v>0</v>
      </c>
      <c r="O6" s="5">
        <f t="shared" si="0"/>
        <v>0</v>
      </c>
      <c r="P6" s="5">
        <f t="shared" si="1"/>
        <v>0</v>
      </c>
      <c r="Q6" s="5">
        <f t="shared" si="5"/>
        <v>0</v>
      </c>
      <c r="R6" t="s">
        <v>28</v>
      </c>
      <c r="T6" t="s">
        <v>26</v>
      </c>
      <c r="U6" t="s">
        <v>27</v>
      </c>
      <c r="V6" t="s">
        <v>26</v>
      </c>
      <c r="W6" t="s">
        <v>27</v>
      </c>
      <c r="X6" t="s">
        <v>29</v>
      </c>
      <c r="Y6" t="s">
        <v>23</v>
      </c>
    </row>
    <row r="7" spans="1:25">
      <c r="J7" s="5"/>
      <c r="L7" s="5">
        <f t="shared" si="2"/>
        <v>0</v>
      </c>
      <c r="M7" s="5">
        <f t="shared" si="3"/>
        <v>0</v>
      </c>
      <c r="N7" s="5">
        <f t="shared" si="4"/>
        <v>0</v>
      </c>
      <c r="O7" s="5">
        <f t="shared" si="0"/>
        <v>0</v>
      </c>
      <c r="P7" s="5">
        <f t="shared" si="1"/>
        <v>0</v>
      </c>
      <c r="Q7" s="5">
        <f t="shared" si="5"/>
        <v>0</v>
      </c>
      <c r="R7">
        <f t="shared" ref="R7:R35" si="6">A2</f>
        <v>0</v>
      </c>
      <c r="S7" s="3">
        <f t="shared" ref="S7:S37" si="7">DATE($S$1, $U$1-1, 16 + ROW()-7)</f>
        <v>36510</v>
      </c>
      <c r="T7" s="4">
        <f t="shared" ref="T7:T30" si="8">B2</f>
        <v>0</v>
      </c>
      <c r="U7" s="4">
        <f t="shared" ref="U7:U30" si="9">C2</f>
        <v>0</v>
      </c>
      <c r="V7" s="4">
        <f t="shared" ref="V7:V30" si="10">D2</f>
        <v>0</v>
      </c>
      <c r="W7" s="4">
        <f t="shared" ref="W7:W30" si="11">E2</f>
        <v>0</v>
      </c>
      <c r="X7" s="5">
        <f>Q2+IF(Y7="休憩なし", 15, 0)</f>
        <v>0</v>
      </c>
    </row>
    <row r="8" spans="1:25">
      <c r="J8" s="5"/>
      <c r="L8" s="5">
        <f t="shared" si="2"/>
        <v>0</v>
      </c>
      <c r="M8" s="5">
        <f t="shared" si="3"/>
        <v>0</v>
      </c>
      <c r="N8" s="5">
        <f t="shared" si="4"/>
        <v>0</v>
      </c>
      <c r="O8" s="5">
        <f t="shared" si="0"/>
        <v>0</v>
      </c>
      <c r="P8" s="5">
        <f t="shared" si="1"/>
        <v>0</v>
      </c>
      <c r="Q8" s="5">
        <f t="shared" si="5"/>
        <v>0</v>
      </c>
      <c r="R8">
        <f t="shared" si="6"/>
        <v>0</v>
      </c>
      <c r="S8" s="3">
        <f t="shared" si="7"/>
        <v>36511</v>
      </c>
      <c r="T8" s="4">
        <f t="shared" si="8"/>
        <v>0</v>
      </c>
      <c r="U8" s="4">
        <f t="shared" si="9"/>
        <v>0</v>
      </c>
      <c r="V8" s="4">
        <f t="shared" si="10"/>
        <v>0</v>
      </c>
      <c r="W8" s="4">
        <f t="shared" si="11"/>
        <v>0</v>
      </c>
      <c r="X8" s="5">
        <f t="shared" ref="X8:X30" si="12">Q3+IF(Y8="休憩なし", 15, 0)</f>
        <v>0</v>
      </c>
    </row>
    <row r="9" spans="1:25">
      <c r="L9" s="5">
        <f t="shared" si="2"/>
        <v>0</v>
      </c>
      <c r="M9" s="5">
        <f t="shared" si="3"/>
        <v>0</v>
      </c>
      <c r="N9" s="5">
        <f t="shared" si="4"/>
        <v>0</v>
      </c>
      <c r="O9" s="5">
        <f t="shared" si="0"/>
        <v>0</v>
      </c>
      <c r="P9" s="5">
        <f t="shared" si="1"/>
        <v>0</v>
      </c>
      <c r="Q9" s="5">
        <f t="shared" si="5"/>
        <v>0</v>
      </c>
      <c r="R9">
        <f t="shared" si="6"/>
        <v>0</v>
      </c>
      <c r="S9" s="3">
        <f t="shared" si="7"/>
        <v>36512</v>
      </c>
      <c r="T9" s="4">
        <f t="shared" si="8"/>
        <v>0</v>
      </c>
      <c r="U9" s="4">
        <f t="shared" si="9"/>
        <v>0</v>
      </c>
      <c r="V9" s="4">
        <f t="shared" si="10"/>
        <v>0</v>
      </c>
      <c r="W9" s="4">
        <f t="shared" si="11"/>
        <v>0</v>
      </c>
      <c r="X9" s="5">
        <f t="shared" si="12"/>
        <v>0</v>
      </c>
    </row>
    <row r="10" spans="1:25">
      <c r="L10" s="5">
        <f t="shared" si="2"/>
        <v>0</v>
      </c>
      <c r="M10" s="5">
        <f t="shared" si="3"/>
        <v>0</v>
      </c>
      <c r="N10" s="5">
        <f t="shared" si="4"/>
        <v>0</v>
      </c>
      <c r="O10" s="5">
        <f t="shared" si="0"/>
        <v>0</v>
      </c>
      <c r="P10" s="5">
        <f t="shared" si="1"/>
        <v>0</v>
      </c>
      <c r="Q10" s="5">
        <f t="shared" si="5"/>
        <v>0</v>
      </c>
      <c r="R10">
        <f t="shared" si="6"/>
        <v>0</v>
      </c>
      <c r="S10" s="3">
        <f t="shared" si="7"/>
        <v>36513</v>
      </c>
      <c r="T10" s="4">
        <f t="shared" si="8"/>
        <v>0</v>
      </c>
      <c r="U10" s="4">
        <f t="shared" si="9"/>
        <v>0</v>
      </c>
      <c r="V10" s="4">
        <f t="shared" si="10"/>
        <v>0</v>
      </c>
      <c r="W10" s="4">
        <f t="shared" si="11"/>
        <v>0</v>
      </c>
      <c r="X10" s="5">
        <f t="shared" si="12"/>
        <v>0</v>
      </c>
    </row>
    <row r="11" spans="1:25">
      <c r="J11" s="5"/>
      <c r="L11" s="5">
        <f t="shared" si="2"/>
        <v>0</v>
      </c>
      <c r="M11" s="5">
        <f t="shared" si="3"/>
        <v>0</v>
      </c>
      <c r="N11" s="5">
        <f t="shared" si="4"/>
        <v>0</v>
      </c>
      <c r="O11" s="5">
        <f t="shared" si="0"/>
        <v>0</v>
      </c>
      <c r="P11" s="5">
        <f t="shared" si="1"/>
        <v>0</v>
      </c>
      <c r="Q11" s="5">
        <f t="shared" si="5"/>
        <v>0</v>
      </c>
      <c r="R11">
        <f t="shared" si="6"/>
        <v>0</v>
      </c>
      <c r="S11" s="3">
        <f t="shared" si="7"/>
        <v>36514</v>
      </c>
      <c r="T11" s="4">
        <f t="shared" si="8"/>
        <v>0</v>
      </c>
      <c r="U11" s="4">
        <f t="shared" si="9"/>
        <v>0</v>
      </c>
      <c r="V11" s="4">
        <f t="shared" si="10"/>
        <v>0</v>
      </c>
      <c r="W11" s="4">
        <f t="shared" si="11"/>
        <v>0</v>
      </c>
      <c r="X11" s="5">
        <f t="shared" si="12"/>
        <v>0</v>
      </c>
    </row>
    <row r="12" spans="1:25">
      <c r="J12" s="5"/>
      <c r="L12" s="5">
        <f t="shared" si="2"/>
        <v>0</v>
      </c>
      <c r="M12" s="5">
        <f t="shared" si="3"/>
        <v>0</v>
      </c>
      <c r="N12" s="5">
        <f t="shared" si="4"/>
        <v>0</v>
      </c>
      <c r="O12" s="5">
        <f t="shared" si="0"/>
        <v>0</v>
      </c>
      <c r="P12" s="5">
        <f t="shared" si="1"/>
        <v>0</v>
      </c>
      <c r="Q12" s="5">
        <f t="shared" si="5"/>
        <v>0</v>
      </c>
      <c r="R12">
        <f t="shared" si="6"/>
        <v>0</v>
      </c>
      <c r="S12" s="3">
        <f t="shared" si="7"/>
        <v>36515</v>
      </c>
      <c r="T12" s="4">
        <f t="shared" si="8"/>
        <v>0</v>
      </c>
      <c r="U12" s="4">
        <f t="shared" si="9"/>
        <v>0</v>
      </c>
      <c r="V12" s="4">
        <f t="shared" si="10"/>
        <v>0</v>
      </c>
      <c r="W12" s="4">
        <f t="shared" si="11"/>
        <v>0</v>
      </c>
      <c r="X12" s="5">
        <f t="shared" si="12"/>
        <v>0</v>
      </c>
    </row>
    <row r="13" spans="1:25">
      <c r="J13" s="5"/>
      <c r="L13" s="5">
        <f t="shared" si="2"/>
        <v>0</v>
      </c>
      <c r="M13" s="5">
        <f t="shared" si="3"/>
        <v>0</v>
      </c>
      <c r="N13" s="5">
        <f t="shared" si="4"/>
        <v>0</v>
      </c>
      <c r="O13" s="5">
        <f t="shared" si="0"/>
        <v>0</v>
      </c>
      <c r="P13" s="5">
        <f t="shared" si="1"/>
        <v>0</v>
      </c>
      <c r="Q13" s="5">
        <f t="shared" si="5"/>
        <v>0</v>
      </c>
      <c r="R13">
        <f t="shared" si="6"/>
        <v>0</v>
      </c>
      <c r="S13" s="3">
        <f t="shared" si="7"/>
        <v>36516</v>
      </c>
      <c r="T13" s="4">
        <f t="shared" si="8"/>
        <v>0</v>
      </c>
      <c r="U13" s="4">
        <f t="shared" si="9"/>
        <v>0</v>
      </c>
      <c r="V13" s="4">
        <f t="shared" si="10"/>
        <v>0</v>
      </c>
      <c r="W13" s="4">
        <f t="shared" si="11"/>
        <v>0</v>
      </c>
      <c r="X13" s="5">
        <f t="shared" si="12"/>
        <v>0</v>
      </c>
    </row>
    <row r="14" spans="1:25">
      <c r="J14" s="5"/>
      <c r="L14" s="5">
        <f t="shared" si="2"/>
        <v>0</v>
      </c>
      <c r="M14" s="5">
        <f t="shared" si="3"/>
        <v>0</v>
      </c>
      <c r="N14" s="5">
        <f t="shared" si="4"/>
        <v>0</v>
      </c>
      <c r="O14" s="5">
        <f t="shared" si="0"/>
        <v>0</v>
      </c>
      <c r="P14" s="5">
        <f t="shared" si="1"/>
        <v>0</v>
      </c>
      <c r="Q14" s="5">
        <f t="shared" si="5"/>
        <v>0</v>
      </c>
      <c r="R14">
        <f t="shared" si="6"/>
        <v>0</v>
      </c>
      <c r="S14" s="3">
        <f t="shared" si="7"/>
        <v>36517</v>
      </c>
      <c r="T14" s="4">
        <f t="shared" si="8"/>
        <v>0</v>
      </c>
      <c r="U14" s="4">
        <f t="shared" si="9"/>
        <v>0</v>
      </c>
      <c r="V14" s="4">
        <f t="shared" si="10"/>
        <v>0</v>
      </c>
      <c r="W14" s="4">
        <f t="shared" si="11"/>
        <v>0</v>
      </c>
      <c r="X14" s="5">
        <f t="shared" si="12"/>
        <v>0</v>
      </c>
    </row>
    <row r="15" spans="1:25">
      <c r="J15" s="5"/>
      <c r="L15" s="5">
        <f t="shared" si="2"/>
        <v>0</v>
      </c>
      <c r="M15" s="5">
        <f t="shared" si="3"/>
        <v>0</v>
      </c>
      <c r="N15" s="5">
        <f t="shared" si="4"/>
        <v>0</v>
      </c>
      <c r="O15" s="5">
        <f t="shared" si="0"/>
        <v>0</v>
      </c>
      <c r="P15" s="5">
        <f t="shared" si="1"/>
        <v>0</v>
      </c>
      <c r="Q15" s="5">
        <f t="shared" si="5"/>
        <v>0</v>
      </c>
      <c r="R15">
        <f t="shared" si="6"/>
        <v>0</v>
      </c>
      <c r="S15" s="3">
        <f t="shared" si="7"/>
        <v>36518</v>
      </c>
      <c r="T15" s="4">
        <f t="shared" si="8"/>
        <v>0</v>
      </c>
      <c r="U15" s="4">
        <f t="shared" si="9"/>
        <v>0</v>
      </c>
      <c r="V15" s="4">
        <f t="shared" si="10"/>
        <v>0</v>
      </c>
      <c r="W15" s="4">
        <f t="shared" si="11"/>
        <v>0</v>
      </c>
      <c r="X15" s="5">
        <f t="shared" si="12"/>
        <v>0</v>
      </c>
    </row>
    <row r="16" spans="1:25">
      <c r="L16" s="5">
        <f t="shared" si="2"/>
        <v>0</v>
      </c>
      <c r="M16" s="5">
        <f t="shared" si="3"/>
        <v>0</v>
      </c>
      <c r="N16" s="5">
        <f t="shared" si="4"/>
        <v>0</v>
      </c>
      <c r="O16" s="5">
        <f t="shared" si="0"/>
        <v>0</v>
      </c>
      <c r="P16" s="5">
        <f t="shared" si="1"/>
        <v>0</v>
      </c>
      <c r="Q16" s="5">
        <f t="shared" si="5"/>
        <v>0</v>
      </c>
      <c r="R16">
        <f t="shared" si="6"/>
        <v>0</v>
      </c>
      <c r="S16" s="3">
        <f t="shared" si="7"/>
        <v>36519</v>
      </c>
      <c r="T16" s="4">
        <f t="shared" si="8"/>
        <v>0</v>
      </c>
      <c r="U16" s="4">
        <f t="shared" si="9"/>
        <v>0</v>
      </c>
      <c r="V16" s="4">
        <f t="shared" si="10"/>
        <v>0</v>
      </c>
      <c r="W16" s="4">
        <f t="shared" si="11"/>
        <v>0</v>
      </c>
      <c r="X16" s="5">
        <f t="shared" si="12"/>
        <v>0</v>
      </c>
    </row>
    <row r="17" spans="2:24">
      <c r="L17" s="5">
        <f t="shared" si="2"/>
        <v>0</v>
      </c>
      <c r="M17" s="5">
        <f t="shared" si="3"/>
        <v>0</v>
      </c>
      <c r="N17" s="5">
        <f t="shared" si="4"/>
        <v>0</v>
      </c>
      <c r="O17" s="5">
        <f t="shared" si="0"/>
        <v>0</v>
      </c>
      <c r="P17" s="5">
        <f t="shared" si="1"/>
        <v>0</v>
      </c>
      <c r="Q17" s="5">
        <f t="shared" si="5"/>
        <v>0</v>
      </c>
      <c r="R17">
        <f t="shared" si="6"/>
        <v>0</v>
      </c>
      <c r="S17" s="3">
        <f t="shared" si="7"/>
        <v>36520</v>
      </c>
      <c r="T17" s="4">
        <f t="shared" si="8"/>
        <v>0</v>
      </c>
      <c r="U17" s="4">
        <f t="shared" si="9"/>
        <v>0</v>
      </c>
      <c r="V17" s="4">
        <f t="shared" si="10"/>
        <v>0</v>
      </c>
      <c r="W17" s="4">
        <f t="shared" si="11"/>
        <v>0</v>
      </c>
      <c r="X17" s="5">
        <f t="shared" si="12"/>
        <v>0</v>
      </c>
    </row>
    <row r="18" spans="2:24">
      <c r="J18" s="5"/>
      <c r="L18" s="5">
        <f t="shared" si="2"/>
        <v>0</v>
      </c>
      <c r="M18" s="5">
        <f t="shared" si="3"/>
        <v>0</v>
      </c>
      <c r="N18" s="5">
        <f t="shared" si="4"/>
        <v>0</v>
      </c>
      <c r="O18" s="5">
        <f t="shared" si="0"/>
        <v>0</v>
      </c>
      <c r="P18" s="5">
        <f t="shared" si="1"/>
        <v>0</v>
      </c>
      <c r="Q18" s="5">
        <f t="shared" si="5"/>
        <v>0</v>
      </c>
      <c r="R18">
        <f t="shared" si="6"/>
        <v>0</v>
      </c>
      <c r="S18" s="3">
        <f t="shared" si="7"/>
        <v>36521</v>
      </c>
      <c r="T18" s="4">
        <f t="shared" si="8"/>
        <v>0</v>
      </c>
      <c r="U18" s="4">
        <f t="shared" si="9"/>
        <v>0</v>
      </c>
      <c r="V18" s="4">
        <f t="shared" si="10"/>
        <v>0</v>
      </c>
      <c r="W18" s="4">
        <f t="shared" si="11"/>
        <v>0</v>
      </c>
      <c r="X18" s="5">
        <f t="shared" si="12"/>
        <v>0</v>
      </c>
    </row>
    <row r="19" spans="2:24">
      <c r="C19" s="4"/>
      <c r="J19" s="5"/>
      <c r="L19" s="5">
        <f t="shared" si="2"/>
        <v>0</v>
      </c>
      <c r="M19" s="5">
        <f t="shared" si="3"/>
        <v>0</v>
      </c>
      <c r="N19" s="5">
        <f t="shared" si="4"/>
        <v>0</v>
      </c>
      <c r="O19" s="5">
        <f t="shared" si="0"/>
        <v>0</v>
      </c>
      <c r="P19" s="5">
        <f t="shared" si="1"/>
        <v>0</v>
      </c>
      <c r="Q19" s="5">
        <f t="shared" si="5"/>
        <v>0</v>
      </c>
      <c r="R19">
        <f t="shared" si="6"/>
        <v>0</v>
      </c>
      <c r="S19" s="3">
        <f t="shared" si="7"/>
        <v>36522</v>
      </c>
      <c r="T19" s="4">
        <f t="shared" si="8"/>
        <v>0</v>
      </c>
      <c r="U19" s="4">
        <f t="shared" si="9"/>
        <v>0</v>
      </c>
      <c r="V19" s="4">
        <f t="shared" si="10"/>
        <v>0</v>
      </c>
      <c r="W19" s="4">
        <f t="shared" si="11"/>
        <v>0</v>
      </c>
      <c r="X19" s="5">
        <f t="shared" si="12"/>
        <v>0</v>
      </c>
    </row>
    <row r="20" spans="2:24">
      <c r="J20" s="5"/>
      <c r="L20" s="5">
        <f t="shared" si="2"/>
        <v>0</v>
      </c>
      <c r="M20" s="5">
        <f t="shared" si="3"/>
        <v>0</v>
      </c>
      <c r="N20" s="5">
        <f t="shared" si="4"/>
        <v>0</v>
      </c>
      <c r="O20" s="5">
        <f t="shared" si="0"/>
        <v>0</v>
      </c>
      <c r="P20" s="5">
        <f t="shared" si="1"/>
        <v>0</v>
      </c>
      <c r="Q20" s="5">
        <f t="shared" si="5"/>
        <v>0</v>
      </c>
      <c r="R20">
        <f t="shared" si="6"/>
        <v>0</v>
      </c>
      <c r="S20" s="3">
        <f t="shared" si="7"/>
        <v>36523</v>
      </c>
      <c r="T20" s="4">
        <f t="shared" si="8"/>
        <v>0</v>
      </c>
      <c r="U20" s="4">
        <f t="shared" si="9"/>
        <v>0</v>
      </c>
      <c r="V20" s="4">
        <f t="shared" si="10"/>
        <v>0</v>
      </c>
      <c r="W20" s="4">
        <f t="shared" si="11"/>
        <v>0</v>
      </c>
      <c r="X20" s="5">
        <f t="shared" si="12"/>
        <v>0</v>
      </c>
    </row>
    <row r="21" spans="2:24">
      <c r="J21" s="5"/>
      <c r="L21" s="5">
        <f t="shared" si="2"/>
        <v>0</v>
      </c>
      <c r="M21" s="5">
        <f t="shared" si="3"/>
        <v>0</v>
      </c>
      <c r="N21" s="5">
        <f t="shared" si="4"/>
        <v>0</v>
      </c>
      <c r="O21" s="5">
        <f t="shared" si="0"/>
        <v>0</v>
      </c>
      <c r="P21" s="5">
        <f t="shared" si="1"/>
        <v>0</v>
      </c>
      <c r="Q21" s="5">
        <f t="shared" si="5"/>
        <v>0</v>
      </c>
      <c r="R21">
        <f t="shared" si="6"/>
        <v>0</v>
      </c>
      <c r="S21" s="3">
        <f t="shared" si="7"/>
        <v>36524</v>
      </c>
      <c r="T21" s="4">
        <f t="shared" si="8"/>
        <v>0</v>
      </c>
      <c r="U21" s="4">
        <f t="shared" si="9"/>
        <v>0</v>
      </c>
      <c r="V21" s="4">
        <f t="shared" si="10"/>
        <v>0</v>
      </c>
      <c r="W21" s="4">
        <f t="shared" si="11"/>
        <v>0</v>
      </c>
      <c r="X21" s="5">
        <f t="shared" si="12"/>
        <v>0</v>
      </c>
    </row>
    <row r="22" spans="2:24">
      <c r="J22" s="5"/>
      <c r="L22" s="5">
        <f t="shared" si="2"/>
        <v>0</v>
      </c>
      <c r="M22" s="5">
        <f t="shared" si="3"/>
        <v>0</v>
      </c>
      <c r="N22" s="5">
        <f t="shared" si="4"/>
        <v>0</v>
      </c>
      <c r="O22" s="5">
        <f t="shared" si="0"/>
        <v>0</v>
      </c>
      <c r="P22" s="5">
        <f t="shared" si="1"/>
        <v>0</v>
      </c>
      <c r="Q22" s="5">
        <f t="shared" si="5"/>
        <v>0</v>
      </c>
      <c r="R22">
        <f t="shared" si="6"/>
        <v>0</v>
      </c>
      <c r="S22" s="3">
        <f t="shared" si="7"/>
        <v>36525</v>
      </c>
      <c r="T22" s="4">
        <f t="shared" si="8"/>
        <v>0</v>
      </c>
      <c r="U22" s="4">
        <f t="shared" si="9"/>
        <v>0</v>
      </c>
      <c r="V22" s="4">
        <f t="shared" si="10"/>
        <v>0</v>
      </c>
      <c r="W22" s="4">
        <f t="shared" si="11"/>
        <v>0</v>
      </c>
      <c r="X22" s="5">
        <f t="shared" si="12"/>
        <v>0</v>
      </c>
    </row>
    <row r="23" spans="2:24">
      <c r="L23" s="5">
        <f t="shared" si="2"/>
        <v>0</v>
      </c>
      <c r="M23" s="5">
        <f t="shared" si="3"/>
        <v>0</v>
      </c>
      <c r="N23" s="5">
        <f t="shared" si="4"/>
        <v>0</v>
      </c>
      <c r="O23" s="5">
        <f t="shared" si="0"/>
        <v>0</v>
      </c>
      <c r="P23" s="5">
        <f t="shared" si="1"/>
        <v>0</v>
      </c>
      <c r="Q23" s="5">
        <f t="shared" si="5"/>
        <v>0</v>
      </c>
      <c r="R23">
        <f t="shared" si="6"/>
        <v>0</v>
      </c>
      <c r="S23" s="3">
        <f t="shared" si="7"/>
        <v>36526</v>
      </c>
      <c r="T23" s="4">
        <f t="shared" si="8"/>
        <v>0</v>
      </c>
      <c r="U23" s="4">
        <f t="shared" si="9"/>
        <v>0</v>
      </c>
      <c r="V23" s="4">
        <f t="shared" si="10"/>
        <v>0</v>
      </c>
      <c r="W23" s="4">
        <f t="shared" si="11"/>
        <v>0</v>
      </c>
      <c r="X23" s="5">
        <f t="shared" si="12"/>
        <v>0</v>
      </c>
    </row>
    <row r="24" spans="2:24">
      <c r="L24" s="5">
        <f t="shared" si="2"/>
        <v>0</v>
      </c>
      <c r="M24" s="5">
        <f t="shared" si="3"/>
        <v>0</v>
      </c>
      <c r="N24" s="5">
        <f t="shared" si="4"/>
        <v>0</v>
      </c>
      <c r="O24" s="5">
        <f t="shared" si="0"/>
        <v>0</v>
      </c>
      <c r="P24" s="5">
        <f t="shared" si="1"/>
        <v>0</v>
      </c>
      <c r="Q24" s="5">
        <f t="shared" si="5"/>
        <v>0</v>
      </c>
      <c r="R24">
        <f t="shared" si="6"/>
        <v>0</v>
      </c>
      <c r="S24" s="3">
        <f t="shared" si="7"/>
        <v>36527</v>
      </c>
      <c r="T24" s="4">
        <f t="shared" si="8"/>
        <v>0</v>
      </c>
      <c r="U24" s="4">
        <f t="shared" si="9"/>
        <v>0</v>
      </c>
      <c r="V24" s="4">
        <f t="shared" si="10"/>
        <v>0</v>
      </c>
      <c r="W24" s="4">
        <f t="shared" si="11"/>
        <v>0</v>
      </c>
      <c r="X24" s="5">
        <f t="shared" si="12"/>
        <v>0</v>
      </c>
    </row>
    <row r="25" spans="2:24">
      <c r="J25" s="5"/>
      <c r="L25" s="5">
        <f t="shared" si="2"/>
        <v>0</v>
      </c>
      <c r="M25" s="5">
        <f t="shared" si="3"/>
        <v>0</v>
      </c>
      <c r="N25" s="5">
        <f t="shared" si="4"/>
        <v>0</v>
      </c>
      <c r="O25" s="5">
        <f t="shared" si="0"/>
        <v>0</v>
      </c>
      <c r="P25" s="5">
        <f t="shared" si="1"/>
        <v>0</v>
      </c>
      <c r="Q25" s="5">
        <f t="shared" si="5"/>
        <v>0</v>
      </c>
      <c r="R25">
        <f t="shared" si="6"/>
        <v>0</v>
      </c>
      <c r="S25" s="3">
        <f t="shared" si="7"/>
        <v>36528</v>
      </c>
      <c r="T25" s="4">
        <f t="shared" si="8"/>
        <v>0</v>
      </c>
      <c r="U25" s="4">
        <f t="shared" si="9"/>
        <v>0</v>
      </c>
      <c r="V25" s="4">
        <f t="shared" si="10"/>
        <v>0</v>
      </c>
      <c r="W25" s="4">
        <f t="shared" si="11"/>
        <v>0</v>
      </c>
      <c r="X25" s="5">
        <f t="shared" si="12"/>
        <v>0</v>
      </c>
    </row>
    <row r="26" spans="2:24">
      <c r="J26" s="5"/>
      <c r="L26" s="5">
        <f t="shared" si="2"/>
        <v>0</v>
      </c>
      <c r="M26" s="5">
        <f t="shared" si="3"/>
        <v>0</v>
      </c>
      <c r="N26" s="5">
        <f t="shared" si="4"/>
        <v>0</v>
      </c>
      <c r="O26" s="5">
        <f t="shared" si="0"/>
        <v>0</v>
      </c>
      <c r="P26" s="5">
        <f t="shared" si="1"/>
        <v>0</v>
      </c>
      <c r="Q26" s="5">
        <f t="shared" si="5"/>
        <v>0</v>
      </c>
      <c r="R26">
        <f t="shared" si="6"/>
        <v>0</v>
      </c>
      <c r="S26" s="3">
        <f t="shared" si="7"/>
        <v>36529</v>
      </c>
      <c r="T26" s="4">
        <f t="shared" si="8"/>
        <v>0</v>
      </c>
      <c r="U26" s="4">
        <f t="shared" si="9"/>
        <v>0</v>
      </c>
      <c r="V26" s="4">
        <f t="shared" si="10"/>
        <v>0</v>
      </c>
      <c r="W26" s="4">
        <f t="shared" si="11"/>
        <v>0</v>
      </c>
      <c r="X26" s="5">
        <f t="shared" si="12"/>
        <v>0</v>
      </c>
    </row>
    <row r="27" spans="2:24">
      <c r="J27" s="5"/>
      <c r="L27" s="5">
        <f t="shared" si="2"/>
        <v>0</v>
      </c>
      <c r="M27" s="5">
        <f t="shared" si="3"/>
        <v>0</v>
      </c>
      <c r="N27" s="5">
        <f t="shared" si="4"/>
        <v>0</v>
      </c>
      <c r="O27" s="5">
        <f t="shared" si="0"/>
        <v>0</v>
      </c>
      <c r="P27" s="5">
        <f t="shared" si="1"/>
        <v>0</v>
      </c>
      <c r="Q27" s="5">
        <f t="shared" si="5"/>
        <v>0</v>
      </c>
      <c r="R27">
        <f t="shared" si="6"/>
        <v>0</v>
      </c>
      <c r="S27" s="3">
        <f t="shared" si="7"/>
        <v>36530</v>
      </c>
      <c r="T27" s="4">
        <f t="shared" si="8"/>
        <v>0</v>
      </c>
      <c r="U27" s="4">
        <f t="shared" si="9"/>
        <v>0</v>
      </c>
      <c r="V27" s="4">
        <f t="shared" si="10"/>
        <v>0</v>
      </c>
      <c r="W27" s="4">
        <f t="shared" si="11"/>
        <v>0</v>
      </c>
      <c r="X27" s="5">
        <f t="shared" si="12"/>
        <v>0</v>
      </c>
    </row>
    <row r="28" spans="2:24">
      <c r="B28" s="16"/>
      <c r="C28" s="16"/>
      <c r="J28" s="5"/>
      <c r="L28" s="5">
        <f t="shared" si="2"/>
        <v>0</v>
      </c>
      <c r="M28" s="5">
        <f t="shared" si="3"/>
        <v>0</v>
      </c>
      <c r="N28" s="5">
        <f t="shared" si="4"/>
        <v>0</v>
      </c>
      <c r="O28" s="5">
        <f t="shared" si="0"/>
        <v>0</v>
      </c>
      <c r="P28" s="5">
        <f t="shared" si="1"/>
        <v>0</v>
      </c>
      <c r="Q28" s="5">
        <f t="shared" si="5"/>
        <v>0</v>
      </c>
      <c r="R28">
        <f t="shared" si="6"/>
        <v>0</v>
      </c>
      <c r="S28" s="3">
        <f t="shared" si="7"/>
        <v>36531</v>
      </c>
      <c r="T28" s="4">
        <f t="shared" si="8"/>
        <v>0</v>
      </c>
      <c r="U28" s="4">
        <f t="shared" si="9"/>
        <v>0</v>
      </c>
      <c r="V28" s="4">
        <f t="shared" si="10"/>
        <v>0</v>
      </c>
      <c r="W28" s="4">
        <f t="shared" si="11"/>
        <v>0</v>
      </c>
      <c r="X28" s="5">
        <f t="shared" si="12"/>
        <v>0</v>
      </c>
    </row>
    <row r="29" spans="2:24">
      <c r="B29" s="16"/>
      <c r="C29" s="16"/>
      <c r="J29" s="5"/>
      <c r="L29" s="5">
        <f t="shared" si="2"/>
        <v>0</v>
      </c>
      <c r="M29" s="5">
        <f t="shared" si="3"/>
        <v>0</v>
      </c>
      <c r="N29" s="5">
        <f t="shared" si="4"/>
        <v>0</v>
      </c>
      <c r="O29" s="5">
        <f t="shared" si="0"/>
        <v>0</v>
      </c>
      <c r="P29" s="5">
        <f t="shared" si="1"/>
        <v>0</v>
      </c>
      <c r="Q29" s="5">
        <f t="shared" si="5"/>
        <v>0</v>
      </c>
      <c r="R29">
        <f t="shared" si="6"/>
        <v>0</v>
      </c>
      <c r="S29" s="3">
        <f t="shared" si="7"/>
        <v>36532</v>
      </c>
      <c r="T29" s="4">
        <f t="shared" si="8"/>
        <v>0</v>
      </c>
      <c r="U29" s="4">
        <f t="shared" si="9"/>
        <v>0</v>
      </c>
      <c r="V29" s="4">
        <f t="shared" si="10"/>
        <v>0</v>
      </c>
      <c r="W29" s="4">
        <f t="shared" si="11"/>
        <v>0</v>
      </c>
      <c r="X29" s="5">
        <f t="shared" si="12"/>
        <v>0</v>
      </c>
    </row>
    <row r="30" spans="2:24">
      <c r="L30" s="5">
        <f t="shared" si="2"/>
        <v>0</v>
      </c>
      <c r="M30" s="5">
        <f t="shared" si="3"/>
        <v>0</v>
      </c>
      <c r="N30" s="5">
        <f t="shared" si="4"/>
        <v>0</v>
      </c>
      <c r="O30" s="5">
        <f t="shared" si="0"/>
        <v>0</v>
      </c>
      <c r="P30" s="5">
        <f t="shared" si="1"/>
        <v>0</v>
      </c>
      <c r="Q30" s="5">
        <f t="shared" si="5"/>
        <v>0</v>
      </c>
      <c r="R30">
        <f t="shared" si="6"/>
        <v>0</v>
      </c>
      <c r="S30" s="3">
        <f t="shared" si="7"/>
        <v>36533</v>
      </c>
      <c r="T30" s="4">
        <f t="shared" si="8"/>
        <v>0</v>
      </c>
      <c r="U30" s="4">
        <f t="shared" si="9"/>
        <v>0</v>
      </c>
      <c r="V30" s="4">
        <f t="shared" si="10"/>
        <v>0</v>
      </c>
      <c r="W30" s="4">
        <f t="shared" si="11"/>
        <v>0</v>
      </c>
      <c r="X30" s="5">
        <f t="shared" si="12"/>
        <v>0</v>
      </c>
    </row>
    <row r="31" spans="2:24">
      <c r="L31" s="6"/>
      <c r="R31">
        <f t="shared" si="6"/>
        <v>0</v>
      </c>
      <c r="S31" s="3">
        <f t="shared" si="7"/>
        <v>36534</v>
      </c>
      <c r="T31" s="4">
        <f t="shared" ref="T31:T37" si="13">B26</f>
        <v>0</v>
      </c>
      <c r="U31" s="4">
        <f t="shared" ref="U31:U37" si="14">C26</f>
        <v>0</v>
      </c>
      <c r="V31" s="4">
        <f t="shared" ref="V31:V37" si="15">D26</f>
        <v>0</v>
      </c>
      <c r="W31" s="4">
        <f t="shared" ref="W31:W37" si="16">E26</f>
        <v>0</v>
      </c>
      <c r="X31" s="5">
        <f t="shared" ref="X31:X37" si="17">Q26+IF(Y31="休憩なし", 15, 0)</f>
        <v>0</v>
      </c>
    </row>
    <row r="32" spans="2:24">
      <c r="L32" s="6"/>
      <c r="R32">
        <f t="shared" si="6"/>
        <v>0</v>
      </c>
      <c r="S32" s="3">
        <f t="shared" si="7"/>
        <v>36535</v>
      </c>
      <c r="T32" s="4">
        <f t="shared" si="13"/>
        <v>0</v>
      </c>
      <c r="U32" s="4">
        <f t="shared" si="14"/>
        <v>0</v>
      </c>
      <c r="V32" s="4">
        <f t="shared" si="15"/>
        <v>0</v>
      </c>
      <c r="W32" s="4">
        <f t="shared" si="16"/>
        <v>0</v>
      </c>
      <c r="X32" s="5">
        <f t="shared" si="17"/>
        <v>0</v>
      </c>
    </row>
    <row r="33" spans="15:24">
      <c r="R33">
        <f t="shared" si="6"/>
        <v>0</v>
      </c>
      <c r="S33" s="3">
        <f t="shared" si="7"/>
        <v>36536</v>
      </c>
      <c r="T33" s="4">
        <f t="shared" si="13"/>
        <v>0</v>
      </c>
      <c r="U33" s="4">
        <f t="shared" si="14"/>
        <v>0</v>
      </c>
      <c r="V33" s="4">
        <f t="shared" si="15"/>
        <v>0</v>
      </c>
      <c r="W33" s="4">
        <f t="shared" si="16"/>
        <v>0</v>
      </c>
      <c r="X33" s="5">
        <f t="shared" si="17"/>
        <v>0</v>
      </c>
    </row>
    <row r="34" spans="15:24">
      <c r="R34">
        <f t="shared" si="6"/>
        <v>0</v>
      </c>
      <c r="S34" s="3">
        <f t="shared" si="7"/>
        <v>36537</v>
      </c>
      <c r="T34" s="4">
        <f t="shared" si="13"/>
        <v>0</v>
      </c>
      <c r="U34" s="4">
        <f t="shared" si="14"/>
        <v>0</v>
      </c>
      <c r="V34" s="4">
        <f t="shared" si="15"/>
        <v>0</v>
      </c>
      <c r="W34" s="4">
        <f t="shared" si="16"/>
        <v>0</v>
      </c>
      <c r="X34" s="5">
        <f t="shared" si="17"/>
        <v>0</v>
      </c>
    </row>
    <row r="35" spans="15:24">
      <c r="R35">
        <f t="shared" si="6"/>
        <v>0</v>
      </c>
      <c r="S35" s="3">
        <f t="shared" si="7"/>
        <v>36538</v>
      </c>
      <c r="T35" s="4">
        <f t="shared" si="13"/>
        <v>0</v>
      </c>
      <c r="U35" s="4">
        <f t="shared" si="14"/>
        <v>0</v>
      </c>
      <c r="V35" s="4">
        <f t="shared" si="15"/>
        <v>0</v>
      </c>
      <c r="W35" s="4">
        <f t="shared" si="16"/>
        <v>0</v>
      </c>
      <c r="X35" s="5">
        <f t="shared" si="17"/>
        <v>0</v>
      </c>
    </row>
    <row r="36" spans="15:24">
      <c r="O36" s="2">
        <f>SUM(O2:O35)</f>
        <v>0</v>
      </c>
      <c r="P36" s="2">
        <f>SUM(P2:P35)</f>
        <v>0</v>
      </c>
      <c r="Q36" s="2">
        <f>SUM(Q2:Q35)</f>
        <v>0</v>
      </c>
      <c r="S36" s="3">
        <f t="shared" si="7"/>
        <v>36539</v>
      </c>
      <c r="T36" s="4">
        <f t="shared" si="13"/>
        <v>0</v>
      </c>
      <c r="U36" s="4">
        <f t="shared" si="14"/>
        <v>0</v>
      </c>
      <c r="V36" s="4">
        <f t="shared" si="15"/>
        <v>0</v>
      </c>
      <c r="W36" s="4">
        <f t="shared" si="16"/>
        <v>0</v>
      </c>
      <c r="X36" s="5">
        <f t="shared" si="17"/>
        <v>0</v>
      </c>
    </row>
    <row r="37" spans="15:24">
      <c r="O37" s="6" t="s">
        <v>17</v>
      </c>
      <c r="P37">
        <f>COUNTIF($N$2:$N$35,"&gt;0")</f>
        <v>0</v>
      </c>
      <c r="S37" s="3">
        <f t="shared" si="7"/>
        <v>36540</v>
      </c>
      <c r="T37" s="4">
        <f t="shared" si="13"/>
        <v>0</v>
      </c>
      <c r="U37" s="4">
        <f t="shared" si="14"/>
        <v>0</v>
      </c>
      <c r="V37" s="4">
        <f t="shared" si="15"/>
        <v>0</v>
      </c>
      <c r="W37" s="4">
        <f t="shared" si="16"/>
        <v>0</v>
      </c>
      <c r="X37" s="5">
        <f t="shared" si="17"/>
        <v>0</v>
      </c>
    </row>
    <row r="38" spans="15:24">
      <c r="S38" s="3"/>
      <c r="T38" s="4"/>
      <c r="U38" s="4"/>
      <c r="V38" s="4"/>
      <c r="W38" s="4"/>
      <c r="X38" s="5"/>
    </row>
  </sheetData>
  <phoneticPr fontId="1"/>
  <conditionalFormatting sqref="L2:Q30 X7:X38">
    <cfRule type="cellIs" dxfId="1" priority="2" stopIfTrue="1" operator="equal">
      <formula>0</formula>
    </cfRule>
  </conditionalFormatting>
  <dataValidations count="1">
    <dataValidation type="list" allowBlank="1" showInputMessage="1" showErrorMessage="1" sqref="Y7:Y38" xr:uid="{B4BEC4E9-EEF4-064A-B2F4-5538A9FF295C}">
      <formula1>"有給, 早退, 遅刻, 欠勤, AM有給, PM有給, 休憩なし"</formula1>
    </dataValidation>
  </dataValidations>
  <pageMargins left="0.7" right="0.7" top="0.75" bottom="0.75" header="0.3" footer="0.3"/>
  <pageSetup paperSize="9" scale="27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618CD-AFFE-E545-9093-9F6BCCF003D5}">
  <sheetPr codeName="Sheet3">
    <pageSetUpPr fitToPage="1"/>
  </sheetPr>
  <dimension ref="A1:X39"/>
  <sheetViews>
    <sheetView workbookViewId="0">
      <selection activeCell="K30" sqref="A2:K30"/>
    </sheetView>
  </sheetViews>
  <sheetFormatPr baseColWidth="10" defaultRowHeight="18"/>
  <cols>
    <col min="1" max="1" width="17.1640625" bestFit="1" customWidth="1"/>
    <col min="4" max="4" width="8.6640625" customWidth="1"/>
    <col min="6" max="6" width="14.33203125" bestFit="1" customWidth="1"/>
    <col min="14" max="14" width="15" bestFit="1" customWidth="1"/>
    <col min="15" max="15" width="14.33203125" bestFit="1" customWidth="1"/>
    <col min="16" max="16" width="15.83203125" bestFit="1" customWidth="1"/>
    <col min="18" max="18" width="17.1640625" bestFit="1" customWidth="1"/>
    <col min="19" max="19" width="13" bestFit="1" customWidth="1"/>
  </cols>
  <sheetData>
    <row r="1" spans="1:24" ht="3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6" t="s">
        <v>11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S1" s="1">
        <f>year</f>
        <v>2000</v>
      </c>
      <c r="T1" s="1" t="s">
        <v>31</v>
      </c>
      <c r="U1" s="1">
        <f>month</f>
        <v>1</v>
      </c>
      <c r="V1" s="1" t="s">
        <v>20</v>
      </c>
      <c r="W1" t="s">
        <v>21</v>
      </c>
      <c r="X1" t="str" cm="1">
        <f t="array" aca="1" ref="X1" ca="1">MID(CELL("filename", A1), FIND("]", CELL("filename", A1)) + 1, LEN(CELL("filename", A1)) - FIND("]", CELL("filename", A1)))</f>
        <v>ドクター</v>
      </c>
    </row>
    <row r="2" spans="1:24">
      <c r="J2" s="5"/>
      <c r="L2" s="5">
        <f>IFERROR(CEILING(B2, "0:30"), 0)</f>
        <v>0</v>
      </c>
      <c r="M2" s="5">
        <f>IFERROR(CEILING(D2, "0:30"), 0)</f>
        <v>0</v>
      </c>
      <c r="N2" s="5">
        <f>IFERROR(C2-L2, 0) + IFERROR(E2 - M2, 0)</f>
        <v>0</v>
      </c>
      <c r="O2" s="5">
        <f t="shared" ref="O2:O30" si="0">MIN("8:00", N2)</f>
        <v>0</v>
      </c>
      <c r="P2" s="5">
        <f t="shared" ref="P2:P30" si="1">MAX("8:00", N2) - "8:00"</f>
        <v>0</v>
      </c>
      <c r="Q2" s="5">
        <f>MAX(IFERROR(IF(C2&gt;"19:00",C2- "19:00",E2- "19:00"), 0), 0)</f>
        <v>0</v>
      </c>
    </row>
    <row r="3" spans="1:24">
      <c r="J3" s="5"/>
      <c r="L3" s="5">
        <f t="shared" ref="L3:L30" si="2">IFERROR(CEILING(B3, "0:30"), 0)</f>
        <v>0</v>
      </c>
      <c r="M3" s="5">
        <f t="shared" ref="M3:M30" si="3">IFERROR(CEILING(D3, "0:30"), 0)</f>
        <v>0</v>
      </c>
      <c r="N3" s="5">
        <f t="shared" ref="N3:N30" si="4">IFERROR(C3-L3, 0) + IFERROR(E3 - M3, 0)</f>
        <v>0</v>
      </c>
      <c r="O3" s="5">
        <f t="shared" si="0"/>
        <v>0</v>
      </c>
      <c r="P3" s="5">
        <f t="shared" si="1"/>
        <v>0</v>
      </c>
      <c r="Q3" s="5">
        <f t="shared" ref="Q3:Q30" si="5">MAX(IFERROR(IF(C3&gt;"19:00",C3- "19:00",E3- "19:00"), 0), 0)</f>
        <v>0</v>
      </c>
      <c r="S3" s="13" t="s">
        <v>17</v>
      </c>
      <c r="T3">
        <f>P39</f>
        <v>0</v>
      </c>
      <c r="U3" t="s">
        <v>19</v>
      </c>
    </row>
    <row r="4" spans="1:24">
      <c r="J4" s="5"/>
      <c r="L4" s="5">
        <f t="shared" si="2"/>
        <v>0</v>
      </c>
      <c r="M4" s="5">
        <f t="shared" si="3"/>
        <v>0</v>
      </c>
      <c r="N4" s="5">
        <f t="shared" si="4"/>
        <v>0</v>
      </c>
      <c r="O4" s="5">
        <f t="shared" si="0"/>
        <v>0</v>
      </c>
      <c r="P4" s="5">
        <f t="shared" si="1"/>
        <v>0</v>
      </c>
      <c r="Q4" s="5">
        <f t="shared" si="5"/>
        <v>0</v>
      </c>
      <c r="S4" s="13" t="s">
        <v>16</v>
      </c>
      <c r="T4">
        <f>COUNTIF(X7:X40, "=有給")+COUNTIF(X7:X40, "=AM有給")*0.5 + COUNTIF(X7:X40, "PM有給")*0.5</f>
        <v>0</v>
      </c>
      <c r="U4" t="s">
        <v>19</v>
      </c>
      <c r="V4" s="15"/>
    </row>
    <row r="5" spans="1:24">
      <c r="J5" s="5"/>
      <c r="L5" s="5">
        <f t="shared" si="2"/>
        <v>0</v>
      </c>
      <c r="M5" s="5">
        <f t="shared" si="3"/>
        <v>0</v>
      </c>
      <c r="N5" s="5">
        <f t="shared" si="4"/>
        <v>0</v>
      </c>
      <c r="O5" s="5">
        <f t="shared" si="0"/>
        <v>0</v>
      </c>
      <c r="P5" s="5">
        <f t="shared" si="1"/>
        <v>0</v>
      </c>
      <c r="Q5" s="5">
        <f t="shared" si="5"/>
        <v>0</v>
      </c>
    </row>
    <row r="6" spans="1:24">
      <c r="C6" s="4"/>
      <c r="J6" s="5"/>
      <c r="L6" s="5">
        <f t="shared" si="2"/>
        <v>0</v>
      </c>
      <c r="M6" s="5">
        <f t="shared" si="3"/>
        <v>0</v>
      </c>
      <c r="N6" s="5">
        <f t="shared" si="4"/>
        <v>0</v>
      </c>
      <c r="O6" s="5">
        <f t="shared" si="0"/>
        <v>0</v>
      </c>
      <c r="P6" s="5">
        <f t="shared" si="1"/>
        <v>0</v>
      </c>
      <c r="Q6" s="5">
        <f t="shared" si="5"/>
        <v>0</v>
      </c>
      <c r="R6" t="s">
        <v>28</v>
      </c>
      <c r="T6" t="s">
        <v>26</v>
      </c>
      <c r="U6" t="s">
        <v>27</v>
      </c>
      <c r="V6" t="s">
        <v>26</v>
      </c>
      <c r="W6" t="s">
        <v>27</v>
      </c>
      <c r="X6" t="s">
        <v>23</v>
      </c>
    </row>
    <row r="7" spans="1:24">
      <c r="J7" s="5"/>
      <c r="L7" s="5">
        <f t="shared" si="2"/>
        <v>0</v>
      </c>
      <c r="M7" s="5">
        <f t="shared" si="3"/>
        <v>0</v>
      </c>
      <c r="N7" s="5">
        <f t="shared" si="4"/>
        <v>0</v>
      </c>
      <c r="O7" s="5">
        <f t="shared" si="0"/>
        <v>0</v>
      </c>
      <c r="P7" s="5">
        <f t="shared" si="1"/>
        <v>0</v>
      </c>
      <c r="Q7" s="5">
        <f t="shared" si="5"/>
        <v>0</v>
      </c>
      <c r="R7">
        <f t="shared" ref="R7:R35" si="6">A2</f>
        <v>0</v>
      </c>
      <c r="S7" s="3">
        <f t="shared" ref="S7:S37" si="7">DATE($S$1, $U$1-1, 16 + ROW()-7)</f>
        <v>36510</v>
      </c>
      <c r="T7" s="4">
        <f t="shared" ref="T7:T34" si="8">B2</f>
        <v>0</v>
      </c>
      <c r="U7" s="4">
        <f t="shared" ref="U7:U34" si="9">C2</f>
        <v>0</v>
      </c>
      <c r="V7" s="4">
        <f t="shared" ref="V7:V34" si="10">D2</f>
        <v>0</v>
      </c>
      <c r="W7" s="4">
        <f t="shared" ref="W7:W34" si="11">E2</f>
        <v>0</v>
      </c>
    </row>
    <row r="8" spans="1:24">
      <c r="J8" s="5"/>
      <c r="L8" s="5">
        <f t="shared" si="2"/>
        <v>0</v>
      </c>
      <c r="M8" s="5">
        <f t="shared" si="3"/>
        <v>0</v>
      </c>
      <c r="N8" s="5">
        <f t="shared" si="4"/>
        <v>0</v>
      </c>
      <c r="O8" s="5">
        <f t="shared" si="0"/>
        <v>0</v>
      </c>
      <c r="P8" s="5">
        <f t="shared" si="1"/>
        <v>0</v>
      </c>
      <c r="Q8" s="5">
        <f t="shared" si="5"/>
        <v>0</v>
      </c>
      <c r="R8">
        <f t="shared" si="6"/>
        <v>0</v>
      </c>
      <c r="S8" s="3">
        <f t="shared" si="7"/>
        <v>36511</v>
      </c>
      <c r="T8" s="4">
        <f t="shared" si="8"/>
        <v>0</v>
      </c>
      <c r="U8" s="4">
        <f t="shared" si="9"/>
        <v>0</v>
      </c>
      <c r="V8" s="4">
        <f t="shared" si="10"/>
        <v>0</v>
      </c>
      <c r="W8" s="4">
        <f t="shared" si="11"/>
        <v>0</v>
      </c>
    </row>
    <row r="9" spans="1:24">
      <c r="J9" s="5"/>
      <c r="L9" s="5">
        <f t="shared" si="2"/>
        <v>0</v>
      </c>
      <c r="M9" s="5">
        <f t="shared" si="3"/>
        <v>0</v>
      </c>
      <c r="N9" s="5">
        <f t="shared" si="4"/>
        <v>0</v>
      </c>
      <c r="O9" s="5">
        <f t="shared" si="0"/>
        <v>0</v>
      </c>
      <c r="P9" s="5">
        <f t="shared" si="1"/>
        <v>0</v>
      </c>
      <c r="Q9" s="5">
        <f t="shared" si="5"/>
        <v>0</v>
      </c>
      <c r="R9">
        <f t="shared" si="6"/>
        <v>0</v>
      </c>
      <c r="S9" s="3">
        <f t="shared" si="7"/>
        <v>36512</v>
      </c>
      <c r="T9" s="4">
        <f t="shared" si="8"/>
        <v>0</v>
      </c>
      <c r="U9" s="4">
        <f t="shared" si="9"/>
        <v>0</v>
      </c>
      <c r="V9" s="4">
        <f t="shared" si="10"/>
        <v>0</v>
      </c>
      <c r="W9" s="4">
        <f t="shared" si="11"/>
        <v>0</v>
      </c>
    </row>
    <row r="10" spans="1:24">
      <c r="J10" s="5"/>
      <c r="L10" s="5">
        <f t="shared" si="2"/>
        <v>0</v>
      </c>
      <c r="M10" s="5">
        <f t="shared" si="3"/>
        <v>0</v>
      </c>
      <c r="N10" s="5">
        <f t="shared" si="4"/>
        <v>0</v>
      </c>
      <c r="O10" s="5">
        <f t="shared" si="0"/>
        <v>0</v>
      </c>
      <c r="P10" s="5">
        <f t="shared" si="1"/>
        <v>0</v>
      </c>
      <c r="Q10" s="5">
        <f t="shared" si="5"/>
        <v>0</v>
      </c>
      <c r="R10">
        <f t="shared" si="6"/>
        <v>0</v>
      </c>
      <c r="S10" s="3">
        <f t="shared" si="7"/>
        <v>36513</v>
      </c>
      <c r="T10" s="4">
        <f t="shared" si="8"/>
        <v>0</v>
      </c>
      <c r="U10" s="4">
        <f t="shared" si="9"/>
        <v>0</v>
      </c>
      <c r="V10" s="4">
        <f t="shared" si="10"/>
        <v>0</v>
      </c>
      <c r="W10" s="4">
        <f t="shared" si="11"/>
        <v>0</v>
      </c>
    </row>
    <row r="11" spans="1:24">
      <c r="J11" s="5"/>
      <c r="L11" s="5">
        <f t="shared" si="2"/>
        <v>0</v>
      </c>
      <c r="M11" s="5">
        <f t="shared" si="3"/>
        <v>0</v>
      </c>
      <c r="N11" s="5">
        <f t="shared" si="4"/>
        <v>0</v>
      </c>
      <c r="O11" s="5">
        <f t="shared" si="0"/>
        <v>0</v>
      </c>
      <c r="P11" s="5">
        <f t="shared" si="1"/>
        <v>0</v>
      </c>
      <c r="Q11" s="5">
        <f t="shared" si="5"/>
        <v>0</v>
      </c>
      <c r="R11">
        <f t="shared" si="6"/>
        <v>0</v>
      </c>
      <c r="S11" s="3">
        <f t="shared" si="7"/>
        <v>36514</v>
      </c>
      <c r="T11" s="4">
        <f t="shared" si="8"/>
        <v>0</v>
      </c>
      <c r="U11" s="4">
        <f t="shared" si="9"/>
        <v>0</v>
      </c>
      <c r="V11" s="4">
        <f t="shared" si="10"/>
        <v>0</v>
      </c>
      <c r="W11" s="4">
        <f t="shared" si="11"/>
        <v>0</v>
      </c>
    </row>
    <row r="12" spans="1:24">
      <c r="J12" s="5"/>
      <c r="L12" s="5">
        <f t="shared" si="2"/>
        <v>0</v>
      </c>
      <c r="M12" s="5">
        <f t="shared" si="3"/>
        <v>0</v>
      </c>
      <c r="N12" s="5">
        <f t="shared" si="4"/>
        <v>0</v>
      </c>
      <c r="O12" s="5">
        <f t="shared" si="0"/>
        <v>0</v>
      </c>
      <c r="P12" s="5">
        <f t="shared" si="1"/>
        <v>0</v>
      </c>
      <c r="Q12" s="5">
        <f t="shared" si="5"/>
        <v>0</v>
      </c>
      <c r="R12">
        <f t="shared" si="6"/>
        <v>0</v>
      </c>
      <c r="S12" s="3">
        <f t="shared" si="7"/>
        <v>36515</v>
      </c>
      <c r="T12" s="4">
        <f t="shared" si="8"/>
        <v>0</v>
      </c>
      <c r="U12" s="4">
        <f t="shared" si="9"/>
        <v>0</v>
      </c>
      <c r="V12" s="4">
        <f t="shared" si="10"/>
        <v>0</v>
      </c>
      <c r="W12" s="4">
        <f t="shared" si="11"/>
        <v>0</v>
      </c>
    </row>
    <row r="13" spans="1:24">
      <c r="J13" s="5"/>
      <c r="L13" s="5">
        <f t="shared" si="2"/>
        <v>0</v>
      </c>
      <c r="M13" s="5">
        <f t="shared" si="3"/>
        <v>0</v>
      </c>
      <c r="N13" s="5">
        <f t="shared" si="4"/>
        <v>0</v>
      </c>
      <c r="O13" s="5">
        <f t="shared" si="0"/>
        <v>0</v>
      </c>
      <c r="P13" s="5">
        <f t="shared" si="1"/>
        <v>0</v>
      </c>
      <c r="Q13" s="5">
        <f t="shared" si="5"/>
        <v>0</v>
      </c>
      <c r="R13">
        <f t="shared" si="6"/>
        <v>0</v>
      </c>
      <c r="S13" s="3">
        <f t="shared" si="7"/>
        <v>36516</v>
      </c>
      <c r="T13" s="4">
        <f t="shared" si="8"/>
        <v>0</v>
      </c>
      <c r="U13" s="4">
        <f t="shared" si="9"/>
        <v>0</v>
      </c>
      <c r="V13" s="4">
        <f t="shared" si="10"/>
        <v>0</v>
      </c>
      <c r="W13" s="4">
        <f t="shared" si="11"/>
        <v>0</v>
      </c>
    </row>
    <row r="14" spans="1:24">
      <c r="J14" s="5"/>
      <c r="L14" s="5">
        <f t="shared" si="2"/>
        <v>0</v>
      </c>
      <c r="M14" s="5">
        <f t="shared" si="3"/>
        <v>0</v>
      </c>
      <c r="N14" s="5">
        <f t="shared" si="4"/>
        <v>0</v>
      </c>
      <c r="O14" s="5">
        <f t="shared" si="0"/>
        <v>0</v>
      </c>
      <c r="P14" s="5">
        <f t="shared" si="1"/>
        <v>0</v>
      </c>
      <c r="Q14" s="5">
        <f t="shared" si="5"/>
        <v>0</v>
      </c>
      <c r="R14">
        <f t="shared" si="6"/>
        <v>0</v>
      </c>
      <c r="S14" s="3">
        <f t="shared" si="7"/>
        <v>36517</v>
      </c>
      <c r="T14" s="4">
        <f t="shared" si="8"/>
        <v>0</v>
      </c>
      <c r="U14" s="4">
        <f t="shared" si="9"/>
        <v>0</v>
      </c>
      <c r="V14" s="4">
        <f t="shared" si="10"/>
        <v>0</v>
      </c>
      <c r="W14" s="4">
        <f t="shared" si="11"/>
        <v>0</v>
      </c>
    </row>
    <row r="15" spans="1:24">
      <c r="J15" s="5"/>
      <c r="L15" s="5">
        <f t="shared" si="2"/>
        <v>0</v>
      </c>
      <c r="M15" s="5">
        <f t="shared" si="3"/>
        <v>0</v>
      </c>
      <c r="N15" s="5">
        <f t="shared" si="4"/>
        <v>0</v>
      </c>
      <c r="O15" s="5">
        <f t="shared" si="0"/>
        <v>0</v>
      </c>
      <c r="P15" s="5">
        <f t="shared" si="1"/>
        <v>0</v>
      </c>
      <c r="Q15" s="5">
        <f t="shared" si="5"/>
        <v>0</v>
      </c>
      <c r="R15">
        <f t="shared" si="6"/>
        <v>0</v>
      </c>
      <c r="S15" s="3">
        <f t="shared" si="7"/>
        <v>36518</v>
      </c>
      <c r="T15" s="4">
        <f t="shared" si="8"/>
        <v>0</v>
      </c>
      <c r="U15" s="4">
        <f t="shared" si="9"/>
        <v>0</v>
      </c>
      <c r="V15" s="4">
        <f t="shared" si="10"/>
        <v>0</v>
      </c>
      <c r="W15" s="4">
        <f t="shared" si="11"/>
        <v>0</v>
      </c>
    </row>
    <row r="16" spans="1:24">
      <c r="J16" s="5"/>
      <c r="L16" s="5">
        <f t="shared" si="2"/>
        <v>0</v>
      </c>
      <c r="M16" s="5">
        <f t="shared" si="3"/>
        <v>0</v>
      </c>
      <c r="N16" s="5">
        <f t="shared" si="4"/>
        <v>0</v>
      </c>
      <c r="O16" s="5">
        <f t="shared" si="0"/>
        <v>0</v>
      </c>
      <c r="P16" s="5">
        <f t="shared" si="1"/>
        <v>0</v>
      </c>
      <c r="Q16" s="5">
        <f t="shared" si="5"/>
        <v>0</v>
      </c>
      <c r="R16">
        <f t="shared" si="6"/>
        <v>0</v>
      </c>
      <c r="S16" s="3">
        <f t="shared" si="7"/>
        <v>36519</v>
      </c>
      <c r="T16" s="4">
        <f t="shared" si="8"/>
        <v>0</v>
      </c>
      <c r="U16" s="4">
        <f t="shared" si="9"/>
        <v>0</v>
      </c>
      <c r="V16" s="4">
        <f t="shared" si="10"/>
        <v>0</v>
      </c>
      <c r="W16" s="4">
        <f t="shared" si="11"/>
        <v>0</v>
      </c>
    </row>
    <row r="17" spans="2:23">
      <c r="J17" s="5"/>
      <c r="L17" s="5">
        <f t="shared" si="2"/>
        <v>0</v>
      </c>
      <c r="M17" s="5">
        <f t="shared" si="3"/>
        <v>0</v>
      </c>
      <c r="N17" s="5">
        <f t="shared" si="4"/>
        <v>0</v>
      </c>
      <c r="O17" s="5">
        <f t="shared" si="0"/>
        <v>0</v>
      </c>
      <c r="P17" s="5">
        <f t="shared" si="1"/>
        <v>0</v>
      </c>
      <c r="Q17" s="5">
        <f t="shared" si="5"/>
        <v>0</v>
      </c>
      <c r="R17">
        <f t="shared" si="6"/>
        <v>0</v>
      </c>
      <c r="S17" s="3">
        <f t="shared" si="7"/>
        <v>36520</v>
      </c>
      <c r="T17" s="4">
        <f t="shared" si="8"/>
        <v>0</v>
      </c>
      <c r="U17" s="4">
        <f t="shared" si="9"/>
        <v>0</v>
      </c>
      <c r="V17" s="4">
        <f t="shared" si="10"/>
        <v>0</v>
      </c>
      <c r="W17" s="4">
        <f t="shared" si="11"/>
        <v>0</v>
      </c>
    </row>
    <row r="18" spans="2:23">
      <c r="J18" s="5"/>
      <c r="L18" s="5">
        <f t="shared" si="2"/>
        <v>0</v>
      </c>
      <c r="M18" s="5">
        <f t="shared" si="3"/>
        <v>0</v>
      </c>
      <c r="N18" s="5">
        <f t="shared" si="4"/>
        <v>0</v>
      </c>
      <c r="O18" s="5">
        <f t="shared" si="0"/>
        <v>0</v>
      </c>
      <c r="P18" s="5">
        <f t="shared" si="1"/>
        <v>0</v>
      </c>
      <c r="Q18" s="5">
        <f t="shared" si="5"/>
        <v>0</v>
      </c>
      <c r="R18">
        <f t="shared" si="6"/>
        <v>0</v>
      </c>
      <c r="S18" s="3">
        <f t="shared" si="7"/>
        <v>36521</v>
      </c>
      <c r="T18" s="4">
        <f t="shared" si="8"/>
        <v>0</v>
      </c>
      <c r="U18" s="4">
        <f t="shared" si="9"/>
        <v>0</v>
      </c>
      <c r="V18" s="4">
        <f t="shared" si="10"/>
        <v>0</v>
      </c>
      <c r="W18" s="4">
        <f t="shared" si="11"/>
        <v>0</v>
      </c>
    </row>
    <row r="19" spans="2:23">
      <c r="J19" s="5"/>
      <c r="L19" s="5">
        <f t="shared" si="2"/>
        <v>0</v>
      </c>
      <c r="M19" s="5">
        <f t="shared" si="3"/>
        <v>0</v>
      </c>
      <c r="N19" s="5">
        <f t="shared" si="4"/>
        <v>0</v>
      </c>
      <c r="O19" s="5">
        <f t="shared" si="0"/>
        <v>0</v>
      </c>
      <c r="P19" s="5">
        <f t="shared" si="1"/>
        <v>0</v>
      </c>
      <c r="Q19" s="5">
        <f t="shared" si="5"/>
        <v>0</v>
      </c>
      <c r="R19">
        <f t="shared" si="6"/>
        <v>0</v>
      </c>
      <c r="S19" s="3">
        <f t="shared" si="7"/>
        <v>36522</v>
      </c>
      <c r="T19" s="4">
        <f t="shared" si="8"/>
        <v>0</v>
      </c>
      <c r="U19" s="4">
        <f t="shared" si="9"/>
        <v>0</v>
      </c>
      <c r="V19" s="4">
        <f t="shared" si="10"/>
        <v>0</v>
      </c>
      <c r="W19" s="4">
        <f t="shared" si="11"/>
        <v>0</v>
      </c>
    </row>
    <row r="20" spans="2:23">
      <c r="J20" s="5"/>
      <c r="L20" s="5">
        <f t="shared" si="2"/>
        <v>0</v>
      </c>
      <c r="M20" s="5">
        <f t="shared" si="3"/>
        <v>0</v>
      </c>
      <c r="N20" s="5">
        <f t="shared" si="4"/>
        <v>0</v>
      </c>
      <c r="O20" s="5">
        <f t="shared" si="0"/>
        <v>0</v>
      </c>
      <c r="P20" s="5">
        <f t="shared" si="1"/>
        <v>0</v>
      </c>
      <c r="Q20" s="5">
        <f t="shared" si="5"/>
        <v>0</v>
      </c>
      <c r="R20">
        <f t="shared" si="6"/>
        <v>0</v>
      </c>
      <c r="S20" s="3">
        <f t="shared" si="7"/>
        <v>36523</v>
      </c>
      <c r="T20" s="4">
        <f t="shared" si="8"/>
        <v>0</v>
      </c>
      <c r="U20" s="4">
        <f t="shared" si="9"/>
        <v>0</v>
      </c>
      <c r="V20" s="4">
        <f t="shared" si="10"/>
        <v>0</v>
      </c>
      <c r="W20" s="4">
        <f t="shared" si="11"/>
        <v>0</v>
      </c>
    </row>
    <row r="21" spans="2:23">
      <c r="J21" s="5"/>
      <c r="L21" s="5">
        <f t="shared" si="2"/>
        <v>0</v>
      </c>
      <c r="M21" s="5">
        <f t="shared" si="3"/>
        <v>0</v>
      </c>
      <c r="N21" s="5">
        <f t="shared" si="4"/>
        <v>0</v>
      </c>
      <c r="O21" s="5">
        <f t="shared" si="0"/>
        <v>0</v>
      </c>
      <c r="P21" s="5">
        <f t="shared" si="1"/>
        <v>0</v>
      </c>
      <c r="Q21" s="5">
        <f t="shared" si="5"/>
        <v>0</v>
      </c>
      <c r="R21">
        <f t="shared" si="6"/>
        <v>0</v>
      </c>
      <c r="S21" s="3">
        <f t="shared" si="7"/>
        <v>36524</v>
      </c>
      <c r="T21" s="4">
        <f t="shared" si="8"/>
        <v>0</v>
      </c>
      <c r="U21" s="4">
        <f t="shared" si="9"/>
        <v>0</v>
      </c>
      <c r="V21" s="4">
        <f t="shared" si="10"/>
        <v>0</v>
      </c>
      <c r="W21" s="4">
        <f t="shared" si="11"/>
        <v>0</v>
      </c>
    </row>
    <row r="22" spans="2:23">
      <c r="J22" s="5"/>
      <c r="L22" s="5">
        <f t="shared" si="2"/>
        <v>0</v>
      </c>
      <c r="M22" s="5">
        <f t="shared" si="3"/>
        <v>0</v>
      </c>
      <c r="N22" s="5">
        <f t="shared" si="4"/>
        <v>0</v>
      </c>
      <c r="O22" s="5">
        <f t="shared" si="0"/>
        <v>0</v>
      </c>
      <c r="P22" s="5">
        <f t="shared" si="1"/>
        <v>0</v>
      </c>
      <c r="Q22" s="5">
        <f t="shared" si="5"/>
        <v>0</v>
      </c>
      <c r="R22">
        <f t="shared" si="6"/>
        <v>0</v>
      </c>
      <c r="S22" s="3">
        <f t="shared" si="7"/>
        <v>36525</v>
      </c>
      <c r="T22" s="4">
        <f t="shared" si="8"/>
        <v>0</v>
      </c>
      <c r="U22" s="4">
        <f t="shared" si="9"/>
        <v>0</v>
      </c>
      <c r="V22" s="4">
        <f t="shared" si="10"/>
        <v>0</v>
      </c>
      <c r="W22" s="4">
        <f t="shared" si="11"/>
        <v>0</v>
      </c>
    </row>
    <row r="23" spans="2:23">
      <c r="J23" s="5"/>
      <c r="L23" s="5">
        <f t="shared" si="2"/>
        <v>0</v>
      </c>
      <c r="M23" s="5">
        <f t="shared" si="3"/>
        <v>0</v>
      </c>
      <c r="N23" s="5">
        <f t="shared" si="4"/>
        <v>0</v>
      </c>
      <c r="O23" s="5">
        <f t="shared" si="0"/>
        <v>0</v>
      </c>
      <c r="P23" s="5">
        <f t="shared" si="1"/>
        <v>0</v>
      </c>
      <c r="Q23" s="5">
        <f t="shared" si="5"/>
        <v>0</v>
      </c>
      <c r="R23">
        <f t="shared" si="6"/>
        <v>0</v>
      </c>
      <c r="S23" s="3">
        <f t="shared" si="7"/>
        <v>36526</v>
      </c>
      <c r="T23" s="4">
        <f t="shared" si="8"/>
        <v>0</v>
      </c>
      <c r="U23" s="4">
        <f t="shared" si="9"/>
        <v>0</v>
      </c>
      <c r="V23" s="4">
        <f t="shared" si="10"/>
        <v>0</v>
      </c>
      <c r="W23" s="4">
        <f t="shared" si="11"/>
        <v>0</v>
      </c>
    </row>
    <row r="24" spans="2:23">
      <c r="J24" s="5"/>
      <c r="L24" s="5">
        <f t="shared" si="2"/>
        <v>0</v>
      </c>
      <c r="M24" s="5">
        <f t="shared" si="3"/>
        <v>0</v>
      </c>
      <c r="N24" s="5">
        <f t="shared" si="4"/>
        <v>0</v>
      </c>
      <c r="O24" s="5">
        <f t="shared" si="0"/>
        <v>0</v>
      </c>
      <c r="P24" s="5">
        <f t="shared" si="1"/>
        <v>0</v>
      </c>
      <c r="Q24" s="5">
        <f t="shared" si="5"/>
        <v>0</v>
      </c>
      <c r="R24">
        <f t="shared" si="6"/>
        <v>0</v>
      </c>
      <c r="S24" s="3">
        <f t="shared" si="7"/>
        <v>36527</v>
      </c>
      <c r="T24" s="4">
        <f t="shared" si="8"/>
        <v>0</v>
      </c>
      <c r="U24" s="4">
        <f t="shared" si="9"/>
        <v>0</v>
      </c>
      <c r="V24" s="4">
        <f t="shared" si="10"/>
        <v>0</v>
      </c>
      <c r="W24" s="4">
        <f t="shared" si="11"/>
        <v>0</v>
      </c>
    </row>
    <row r="25" spans="2:23">
      <c r="J25" s="5"/>
      <c r="L25" s="5">
        <f t="shared" si="2"/>
        <v>0</v>
      </c>
      <c r="M25" s="5">
        <f t="shared" si="3"/>
        <v>0</v>
      </c>
      <c r="N25" s="5">
        <f t="shared" si="4"/>
        <v>0</v>
      </c>
      <c r="O25" s="5">
        <f t="shared" si="0"/>
        <v>0</v>
      </c>
      <c r="P25" s="5">
        <f t="shared" si="1"/>
        <v>0</v>
      </c>
      <c r="Q25" s="5">
        <f t="shared" si="5"/>
        <v>0</v>
      </c>
      <c r="R25">
        <f t="shared" si="6"/>
        <v>0</v>
      </c>
      <c r="S25" s="3">
        <f t="shared" si="7"/>
        <v>36528</v>
      </c>
      <c r="T25" s="4">
        <f t="shared" si="8"/>
        <v>0</v>
      </c>
      <c r="U25" s="4">
        <f t="shared" si="9"/>
        <v>0</v>
      </c>
      <c r="V25" s="4">
        <f t="shared" si="10"/>
        <v>0</v>
      </c>
      <c r="W25" s="4">
        <f t="shared" si="11"/>
        <v>0</v>
      </c>
    </row>
    <row r="26" spans="2:23">
      <c r="J26" s="5"/>
      <c r="L26" s="5">
        <f t="shared" si="2"/>
        <v>0</v>
      </c>
      <c r="M26" s="5">
        <f t="shared" si="3"/>
        <v>0</v>
      </c>
      <c r="N26" s="5">
        <f t="shared" si="4"/>
        <v>0</v>
      </c>
      <c r="O26" s="5">
        <f t="shared" si="0"/>
        <v>0</v>
      </c>
      <c r="P26" s="5">
        <f t="shared" si="1"/>
        <v>0</v>
      </c>
      <c r="Q26" s="5">
        <f t="shared" si="5"/>
        <v>0</v>
      </c>
      <c r="R26">
        <f t="shared" si="6"/>
        <v>0</v>
      </c>
      <c r="S26" s="3">
        <f t="shared" si="7"/>
        <v>36529</v>
      </c>
      <c r="T26" s="4">
        <f t="shared" si="8"/>
        <v>0</v>
      </c>
      <c r="U26" s="4">
        <f t="shared" si="9"/>
        <v>0</v>
      </c>
      <c r="V26" s="4">
        <f t="shared" si="10"/>
        <v>0</v>
      </c>
      <c r="W26" s="4">
        <f t="shared" si="11"/>
        <v>0</v>
      </c>
    </row>
    <row r="27" spans="2:23">
      <c r="J27" s="5"/>
      <c r="L27" s="5">
        <f t="shared" si="2"/>
        <v>0</v>
      </c>
      <c r="M27" s="5">
        <f t="shared" si="3"/>
        <v>0</v>
      </c>
      <c r="N27" s="5">
        <f t="shared" si="4"/>
        <v>0</v>
      </c>
      <c r="O27" s="5">
        <f t="shared" si="0"/>
        <v>0</v>
      </c>
      <c r="P27" s="5">
        <f t="shared" si="1"/>
        <v>0</v>
      </c>
      <c r="Q27" s="5">
        <f t="shared" si="5"/>
        <v>0</v>
      </c>
      <c r="R27">
        <f t="shared" si="6"/>
        <v>0</v>
      </c>
      <c r="S27" s="3">
        <f t="shared" si="7"/>
        <v>36530</v>
      </c>
      <c r="T27" s="4">
        <f t="shared" si="8"/>
        <v>0</v>
      </c>
      <c r="U27" s="4">
        <f t="shared" si="9"/>
        <v>0</v>
      </c>
      <c r="V27" s="4">
        <f t="shared" si="10"/>
        <v>0</v>
      </c>
      <c r="W27" s="4">
        <f t="shared" si="11"/>
        <v>0</v>
      </c>
    </row>
    <row r="28" spans="2:23">
      <c r="B28" s="4"/>
      <c r="C28" s="4"/>
      <c r="J28" s="5"/>
      <c r="L28" s="5">
        <f t="shared" si="2"/>
        <v>0</v>
      </c>
      <c r="M28" s="5">
        <f t="shared" si="3"/>
        <v>0</v>
      </c>
      <c r="N28" s="5">
        <f t="shared" si="4"/>
        <v>0</v>
      </c>
      <c r="O28" s="5">
        <f t="shared" si="0"/>
        <v>0</v>
      </c>
      <c r="P28" s="5">
        <f t="shared" si="1"/>
        <v>0</v>
      </c>
      <c r="Q28" s="5">
        <f t="shared" si="5"/>
        <v>0</v>
      </c>
      <c r="R28">
        <f t="shared" si="6"/>
        <v>0</v>
      </c>
      <c r="S28" s="3">
        <f t="shared" si="7"/>
        <v>36531</v>
      </c>
      <c r="T28" s="4">
        <f t="shared" si="8"/>
        <v>0</v>
      </c>
      <c r="U28" s="4">
        <f t="shared" si="9"/>
        <v>0</v>
      </c>
      <c r="V28" s="4">
        <f t="shared" si="10"/>
        <v>0</v>
      </c>
      <c r="W28" s="4">
        <f t="shared" si="11"/>
        <v>0</v>
      </c>
    </row>
    <row r="29" spans="2:23">
      <c r="B29" s="4"/>
      <c r="C29" s="4"/>
      <c r="J29" s="5"/>
      <c r="L29" s="5">
        <f t="shared" si="2"/>
        <v>0</v>
      </c>
      <c r="M29" s="5">
        <f t="shared" si="3"/>
        <v>0</v>
      </c>
      <c r="N29" s="5">
        <f t="shared" si="4"/>
        <v>0</v>
      </c>
      <c r="O29" s="5">
        <f t="shared" si="0"/>
        <v>0</v>
      </c>
      <c r="P29" s="5">
        <f t="shared" si="1"/>
        <v>0</v>
      </c>
      <c r="Q29" s="5">
        <f t="shared" si="5"/>
        <v>0</v>
      </c>
      <c r="R29">
        <f t="shared" si="6"/>
        <v>0</v>
      </c>
      <c r="S29" s="3">
        <f t="shared" si="7"/>
        <v>36532</v>
      </c>
      <c r="T29" s="4">
        <f t="shared" si="8"/>
        <v>0</v>
      </c>
      <c r="U29" s="4">
        <f t="shared" si="9"/>
        <v>0</v>
      </c>
      <c r="V29" s="4">
        <f t="shared" si="10"/>
        <v>0</v>
      </c>
      <c r="W29" s="4">
        <f t="shared" si="11"/>
        <v>0</v>
      </c>
    </row>
    <row r="30" spans="2:23">
      <c r="J30" s="5"/>
      <c r="L30" s="5">
        <f t="shared" si="2"/>
        <v>0</v>
      </c>
      <c r="M30" s="5">
        <f t="shared" si="3"/>
        <v>0</v>
      </c>
      <c r="N30" s="5">
        <f t="shared" si="4"/>
        <v>0</v>
      </c>
      <c r="O30" s="5">
        <f t="shared" si="0"/>
        <v>0</v>
      </c>
      <c r="P30" s="5">
        <f t="shared" si="1"/>
        <v>0</v>
      </c>
      <c r="Q30" s="5">
        <f t="shared" si="5"/>
        <v>0</v>
      </c>
      <c r="R30">
        <f t="shared" si="6"/>
        <v>0</v>
      </c>
      <c r="S30" s="3">
        <f t="shared" si="7"/>
        <v>36533</v>
      </c>
      <c r="T30" s="4">
        <f t="shared" si="8"/>
        <v>0</v>
      </c>
      <c r="U30" s="4">
        <f t="shared" si="9"/>
        <v>0</v>
      </c>
      <c r="V30" s="4">
        <f t="shared" si="10"/>
        <v>0</v>
      </c>
      <c r="W30" s="4">
        <f t="shared" si="11"/>
        <v>0</v>
      </c>
    </row>
    <row r="31" spans="2:23">
      <c r="L31" s="6"/>
      <c r="R31">
        <f t="shared" si="6"/>
        <v>0</v>
      </c>
      <c r="S31" s="3">
        <f t="shared" si="7"/>
        <v>36534</v>
      </c>
      <c r="T31" s="4">
        <f t="shared" si="8"/>
        <v>0</v>
      </c>
      <c r="U31" s="4">
        <f t="shared" si="9"/>
        <v>0</v>
      </c>
      <c r="V31" s="4">
        <f t="shared" si="10"/>
        <v>0</v>
      </c>
      <c r="W31" s="4">
        <f t="shared" si="11"/>
        <v>0</v>
      </c>
    </row>
    <row r="32" spans="2:23">
      <c r="L32" s="6"/>
      <c r="R32">
        <f t="shared" si="6"/>
        <v>0</v>
      </c>
      <c r="S32" s="3">
        <f t="shared" si="7"/>
        <v>36535</v>
      </c>
      <c r="T32" s="4">
        <f t="shared" si="8"/>
        <v>0</v>
      </c>
      <c r="U32" s="4">
        <f t="shared" si="9"/>
        <v>0</v>
      </c>
      <c r="V32" s="4">
        <f t="shared" si="10"/>
        <v>0</v>
      </c>
      <c r="W32" s="4">
        <f t="shared" si="11"/>
        <v>0</v>
      </c>
    </row>
    <row r="33" spans="15:23">
      <c r="R33">
        <f t="shared" si="6"/>
        <v>0</v>
      </c>
      <c r="S33" s="3">
        <f t="shared" si="7"/>
        <v>36536</v>
      </c>
      <c r="T33" s="4">
        <f t="shared" si="8"/>
        <v>0</v>
      </c>
      <c r="U33" s="4">
        <f t="shared" si="9"/>
        <v>0</v>
      </c>
      <c r="V33" s="4">
        <f t="shared" si="10"/>
        <v>0</v>
      </c>
      <c r="W33" s="4">
        <f t="shared" si="11"/>
        <v>0</v>
      </c>
    </row>
    <row r="34" spans="15:23">
      <c r="R34">
        <f t="shared" si="6"/>
        <v>0</v>
      </c>
      <c r="S34" s="3">
        <f t="shared" si="7"/>
        <v>36537</v>
      </c>
      <c r="T34" s="4">
        <f t="shared" si="8"/>
        <v>0</v>
      </c>
      <c r="U34" s="4">
        <f t="shared" si="9"/>
        <v>0</v>
      </c>
      <c r="V34" s="4">
        <f t="shared" si="10"/>
        <v>0</v>
      </c>
      <c r="W34" s="4">
        <f t="shared" si="11"/>
        <v>0</v>
      </c>
    </row>
    <row r="35" spans="15:23">
      <c r="R35">
        <f t="shared" si="6"/>
        <v>0</v>
      </c>
      <c r="S35" s="3">
        <f t="shared" si="7"/>
        <v>36538</v>
      </c>
      <c r="T35" s="4">
        <f t="shared" ref="T35:T37" si="12">B30</f>
        <v>0</v>
      </c>
      <c r="U35" s="4">
        <f t="shared" ref="U35:U37" si="13">C30</f>
        <v>0</v>
      </c>
      <c r="V35" s="4">
        <f t="shared" ref="V35:V37" si="14">D30</f>
        <v>0</v>
      </c>
      <c r="W35" s="4">
        <f t="shared" ref="W35:W37" si="15">E30</f>
        <v>0</v>
      </c>
    </row>
    <row r="36" spans="15:23">
      <c r="S36" s="3">
        <f t="shared" si="7"/>
        <v>36539</v>
      </c>
      <c r="T36" s="4">
        <f t="shared" si="12"/>
        <v>0</v>
      </c>
      <c r="U36" s="4">
        <f t="shared" si="13"/>
        <v>0</v>
      </c>
      <c r="V36" s="4">
        <f t="shared" si="14"/>
        <v>0</v>
      </c>
      <c r="W36" s="4">
        <f t="shared" si="15"/>
        <v>0</v>
      </c>
    </row>
    <row r="37" spans="15:23">
      <c r="S37" s="3">
        <f t="shared" si="7"/>
        <v>36540</v>
      </c>
      <c r="T37" s="4">
        <f t="shared" si="12"/>
        <v>0</v>
      </c>
      <c r="U37" s="4">
        <f t="shared" si="13"/>
        <v>0</v>
      </c>
      <c r="V37" s="4">
        <f t="shared" si="14"/>
        <v>0</v>
      </c>
      <c r="W37" s="4">
        <f t="shared" si="15"/>
        <v>0</v>
      </c>
    </row>
    <row r="38" spans="15:23">
      <c r="O38" s="2">
        <f>SUM(O2:O35)</f>
        <v>0</v>
      </c>
      <c r="P38" s="2">
        <f>SUM(P2:P35)</f>
        <v>0</v>
      </c>
      <c r="Q38" s="2">
        <f>SUM(Q2:Q35)</f>
        <v>0</v>
      </c>
    </row>
    <row r="39" spans="15:23">
      <c r="O39" s="6" t="s">
        <v>17</v>
      </c>
      <c r="P39">
        <f>COUNTIF($N$2:$N$35,"&gt;0")</f>
        <v>0</v>
      </c>
    </row>
  </sheetData>
  <phoneticPr fontId="1"/>
  <conditionalFormatting sqref="L2:Q30">
    <cfRule type="cellIs" dxfId="0" priority="2" stopIfTrue="1" operator="equal">
      <formula>0</formula>
    </cfRule>
  </conditionalFormatting>
  <dataValidations count="1">
    <dataValidation type="list" allowBlank="1" showInputMessage="1" showErrorMessage="1" sqref="X7:X37" xr:uid="{DCA356A1-85BE-8543-B4FC-96E8968743F0}">
      <formula1>"有給, 早退, 遅刻, 欠勤, AM有給, PM有給, 休憩なし"</formula1>
    </dataValidation>
  </dataValidations>
  <pageMargins left="0.7" right="0.7" top="0.75" bottom="0.75" header="0.3" footer="0.3"/>
  <pageSetup paperSize="9" scale="28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パート</vt:lpstr>
      <vt:lpstr>正社員</vt:lpstr>
      <vt:lpstr>ドクター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araki hidaka</dc:creator>
  <cp:lastModifiedBy>araki hidaka</cp:lastModifiedBy>
  <dcterms:created xsi:type="dcterms:W3CDTF">2024-12-16T03:08:45Z</dcterms:created>
  <dcterms:modified xsi:type="dcterms:W3CDTF">2025-01-14T04:12:30Z</dcterms:modified>
</cp:coreProperties>
</file>