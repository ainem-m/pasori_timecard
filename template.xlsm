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inem/Desktop/python/pasori_timecard/"/>
    </mc:Choice>
  </mc:AlternateContent>
  <xr:revisionPtr revIDLastSave="0" documentId="13_ncr:1_{32F11C41-DBAD-E246-BFCD-35BCDF4ABD71}" xr6:coauthVersionLast="47" xr6:coauthVersionMax="47" xr10:uidLastSave="{00000000-0000-0000-0000-000000000000}"/>
  <bookViews>
    <workbookView xWindow="0" yWindow="500" windowWidth="33600" windowHeight="20500" activeTab="3" xr2:uid="{405257FD-A4FA-7D48-954F-A889B96C8F08}"/>
  </bookViews>
  <sheets>
    <sheet name="button" sheetId="8" r:id="rId1"/>
    <sheet name="パート" sheetId="3" r:id="rId2"/>
    <sheet name="正社員" sheetId="5" r:id="rId3"/>
    <sheet name="ドクター" sheetId="7" r:id="rId4"/>
  </sheets>
  <definedNames>
    <definedName name="month">1</definedName>
    <definedName name="year">2000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8" i="7" l="1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7" i="7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7" i="3"/>
  <c r="U8" i="5"/>
  <c r="U9" i="5"/>
  <c r="U10" i="5"/>
  <c r="U11" i="5"/>
  <c r="T11" i="5" s="1"/>
  <c r="U12" i="5"/>
  <c r="T12" i="5" s="1"/>
  <c r="U13" i="5"/>
  <c r="T13" i="5" s="1"/>
  <c r="U14" i="5"/>
  <c r="T14" i="5" s="1"/>
  <c r="U15" i="5"/>
  <c r="T15" i="5" s="1"/>
  <c r="U16" i="5"/>
  <c r="U17" i="5"/>
  <c r="U18" i="5"/>
  <c r="U19" i="5"/>
  <c r="U20" i="5"/>
  <c r="U21" i="5"/>
  <c r="U22" i="5"/>
  <c r="U23" i="5"/>
  <c r="T23" i="5" s="1"/>
  <c r="U24" i="5"/>
  <c r="U25" i="5"/>
  <c r="U26" i="5"/>
  <c r="U27" i="5"/>
  <c r="U28" i="5"/>
  <c r="T28" i="5" s="1"/>
  <c r="U29" i="5"/>
  <c r="T29" i="5" s="1"/>
  <c r="U30" i="5"/>
  <c r="T30" i="5" s="1"/>
  <c r="U31" i="5"/>
  <c r="T31" i="5" s="1"/>
  <c r="U32" i="5"/>
  <c r="U33" i="5"/>
  <c r="U34" i="5"/>
  <c r="U35" i="5"/>
  <c r="U36" i="5"/>
  <c r="T36" i="5" s="1"/>
  <c r="U37" i="5"/>
  <c r="T37" i="5" s="1"/>
  <c r="U7" i="5"/>
  <c r="T10" i="5"/>
  <c r="T19" i="5"/>
  <c r="T20" i="5"/>
  <c r="T21" i="5"/>
  <c r="T22" i="5"/>
  <c r="T9" i="5"/>
  <c r="T17" i="5"/>
  <c r="T18" i="5"/>
  <c r="T25" i="5"/>
  <c r="T26" i="5"/>
  <c r="T27" i="5"/>
  <c r="T33" i="5"/>
  <c r="T34" i="5"/>
  <c r="T35" i="5"/>
  <c r="T8" i="5"/>
  <c r="T16" i="5"/>
  <c r="T24" i="5"/>
  <c r="T32" i="5"/>
  <c r="T7" i="5"/>
  <c r="P5" i="3"/>
  <c r="P5" i="5"/>
  <c r="H31" i="7"/>
  <c r="I31" i="7"/>
  <c r="H32" i="7"/>
  <c r="I32" i="7"/>
  <c r="H33" i="7"/>
  <c r="I33" i="7"/>
  <c r="H31" i="5"/>
  <c r="I31" i="5"/>
  <c r="M31" i="5"/>
  <c r="H32" i="5"/>
  <c r="I32" i="5"/>
  <c r="M32" i="5"/>
  <c r="H31" i="3"/>
  <c r="I31" i="3"/>
  <c r="H32" i="3"/>
  <c r="I32" i="3"/>
  <c r="H33" i="3"/>
  <c r="I33" i="3"/>
  <c r="N35" i="3"/>
  <c r="N36" i="3"/>
  <c r="N37" i="3"/>
  <c r="N34" i="5"/>
  <c r="N35" i="5"/>
  <c r="N36" i="5"/>
  <c r="N37" i="5"/>
  <c r="N35" i="7"/>
  <c r="N36" i="7"/>
  <c r="N37" i="7"/>
  <c r="Q1" i="7"/>
  <c r="O1" i="7"/>
  <c r="Q1" i="5"/>
  <c r="O1" i="5"/>
  <c r="Q1" i="3"/>
  <c r="O1" i="3"/>
  <c r="P31" i="5"/>
  <c r="Q31" i="5"/>
  <c r="R31" i="5"/>
  <c r="S31" i="5"/>
  <c r="P32" i="5"/>
  <c r="Q32" i="5"/>
  <c r="R32" i="5"/>
  <c r="S32" i="5"/>
  <c r="P33" i="5"/>
  <c r="Q33" i="5"/>
  <c r="R33" i="5"/>
  <c r="S33" i="5"/>
  <c r="P34" i="5"/>
  <c r="Q34" i="5"/>
  <c r="R34" i="5"/>
  <c r="S34" i="5"/>
  <c r="P35" i="5"/>
  <c r="Q35" i="5"/>
  <c r="R35" i="5"/>
  <c r="S35" i="5"/>
  <c r="P36" i="5"/>
  <c r="Q36" i="5"/>
  <c r="R36" i="5"/>
  <c r="S36" i="5"/>
  <c r="P37" i="5"/>
  <c r="Q37" i="5"/>
  <c r="R37" i="5"/>
  <c r="S37" i="5"/>
  <c r="P36" i="3"/>
  <c r="Q36" i="3"/>
  <c r="R36" i="3"/>
  <c r="S36" i="3"/>
  <c r="P37" i="3"/>
  <c r="Q37" i="3"/>
  <c r="R37" i="3"/>
  <c r="S37" i="3"/>
  <c r="T1" i="3" a="1"/>
  <c r="T1" i="3" s="1"/>
  <c r="T1" i="7" a="1"/>
  <c r="T1" i="7" s="1"/>
  <c r="T1" i="5" a="1"/>
  <c r="T1" i="5" s="1"/>
  <c r="P35" i="7"/>
  <c r="Q35" i="7"/>
  <c r="R35" i="7"/>
  <c r="S35" i="7"/>
  <c r="P36" i="7"/>
  <c r="Q36" i="7"/>
  <c r="R36" i="7"/>
  <c r="S36" i="7"/>
  <c r="P37" i="7"/>
  <c r="Q37" i="7"/>
  <c r="R37" i="7"/>
  <c r="S37" i="7"/>
  <c r="P34" i="3"/>
  <c r="Q34" i="3"/>
  <c r="R34" i="3"/>
  <c r="S34" i="3"/>
  <c r="P35" i="3"/>
  <c r="Q35" i="3"/>
  <c r="R35" i="3"/>
  <c r="S35" i="3"/>
  <c r="S34" i="7"/>
  <c r="R34" i="7"/>
  <c r="Q34" i="7"/>
  <c r="P34" i="7"/>
  <c r="N34" i="7"/>
  <c r="S33" i="7"/>
  <c r="R33" i="7"/>
  <c r="Q33" i="7"/>
  <c r="P33" i="7"/>
  <c r="N33" i="7"/>
  <c r="S32" i="7"/>
  <c r="R32" i="7"/>
  <c r="Q32" i="7"/>
  <c r="P32" i="7"/>
  <c r="N32" i="7"/>
  <c r="S31" i="7"/>
  <c r="R31" i="7"/>
  <c r="Q31" i="7"/>
  <c r="P31" i="7"/>
  <c r="N31" i="7"/>
  <c r="S30" i="7"/>
  <c r="R30" i="7"/>
  <c r="Q30" i="7"/>
  <c r="P30" i="7"/>
  <c r="N30" i="7"/>
  <c r="I30" i="7"/>
  <c r="H30" i="7"/>
  <c r="S29" i="7"/>
  <c r="R29" i="7"/>
  <c r="Q29" i="7"/>
  <c r="P29" i="7"/>
  <c r="N29" i="7"/>
  <c r="I29" i="7"/>
  <c r="H29" i="7"/>
  <c r="S28" i="7"/>
  <c r="R28" i="7"/>
  <c r="Q28" i="7"/>
  <c r="P28" i="7"/>
  <c r="N28" i="7"/>
  <c r="I28" i="7"/>
  <c r="H28" i="7"/>
  <c r="S27" i="7"/>
  <c r="R27" i="7"/>
  <c r="Q27" i="7"/>
  <c r="P27" i="7"/>
  <c r="N27" i="7"/>
  <c r="I27" i="7"/>
  <c r="H27" i="7"/>
  <c r="S26" i="7"/>
  <c r="R26" i="7"/>
  <c r="Q26" i="7"/>
  <c r="P26" i="7"/>
  <c r="N26" i="7"/>
  <c r="I26" i="7"/>
  <c r="H26" i="7"/>
  <c r="S25" i="7"/>
  <c r="R25" i="7"/>
  <c r="Q25" i="7"/>
  <c r="P25" i="7"/>
  <c r="N25" i="7"/>
  <c r="I25" i="7"/>
  <c r="H25" i="7"/>
  <c r="S24" i="7"/>
  <c r="R24" i="7"/>
  <c r="Q24" i="7"/>
  <c r="P24" i="7"/>
  <c r="N24" i="7"/>
  <c r="I24" i="7"/>
  <c r="H24" i="7"/>
  <c r="S23" i="7"/>
  <c r="R23" i="7"/>
  <c r="Q23" i="7"/>
  <c r="P23" i="7"/>
  <c r="N23" i="7"/>
  <c r="I23" i="7"/>
  <c r="H23" i="7"/>
  <c r="S22" i="7"/>
  <c r="R22" i="7"/>
  <c r="Q22" i="7"/>
  <c r="P22" i="7"/>
  <c r="N22" i="7"/>
  <c r="I22" i="7"/>
  <c r="H22" i="7"/>
  <c r="S21" i="7"/>
  <c r="R21" i="7"/>
  <c r="Q21" i="7"/>
  <c r="P21" i="7"/>
  <c r="N21" i="7"/>
  <c r="I21" i="7"/>
  <c r="H21" i="7"/>
  <c r="S20" i="7"/>
  <c r="R20" i="7"/>
  <c r="Q20" i="7"/>
  <c r="P20" i="7"/>
  <c r="N20" i="7"/>
  <c r="I20" i="7"/>
  <c r="H20" i="7"/>
  <c r="S19" i="7"/>
  <c r="R19" i="7"/>
  <c r="Q19" i="7"/>
  <c r="P19" i="7"/>
  <c r="N19" i="7"/>
  <c r="I19" i="7"/>
  <c r="H19" i="7"/>
  <c r="S18" i="7"/>
  <c r="R18" i="7"/>
  <c r="Q18" i="7"/>
  <c r="P18" i="7"/>
  <c r="N18" i="7"/>
  <c r="I18" i="7"/>
  <c r="H18" i="7"/>
  <c r="S17" i="7"/>
  <c r="R17" i="7"/>
  <c r="Q17" i="7"/>
  <c r="P17" i="7"/>
  <c r="N17" i="7"/>
  <c r="I17" i="7"/>
  <c r="H17" i="7"/>
  <c r="S16" i="7"/>
  <c r="R16" i="7"/>
  <c r="Q16" i="7"/>
  <c r="P16" i="7"/>
  <c r="N16" i="7"/>
  <c r="I16" i="7"/>
  <c r="H16" i="7"/>
  <c r="S15" i="7"/>
  <c r="R15" i="7"/>
  <c r="Q15" i="7"/>
  <c r="P15" i="7"/>
  <c r="N15" i="7"/>
  <c r="I15" i="7"/>
  <c r="H15" i="7"/>
  <c r="S14" i="7"/>
  <c r="R14" i="7"/>
  <c r="Q14" i="7"/>
  <c r="P14" i="7"/>
  <c r="N14" i="7"/>
  <c r="I14" i="7"/>
  <c r="H14" i="7"/>
  <c r="S13" i="7"/>
  <c r="R13" i="7"/>
  <c r="Q13" i="7"/>
  <c r="P13" i="7"/>
  <c r="N13" i="7"/>
  <c r="I13" i="7"/>
  <c r="H13" i="7"/>
  <c r="S12" i="7"/>
  <c r="R12" i="7"/>
  <c r="Q12" i="7"/>
  <c r="P12" i="7"/>
  <c r="N12" i="7"/>
  <c r="I12" i="7"/>
  <c r="H12" i="7"/>
  <c r="S11" i="7"/>
  <c r="R11" i="7"/>
  <c r="Q11" i="7"/>
  <c r="P11" i="7"/>
  <c r="N11" i="7"/>
  <c r="I11" i="7"/>
  <c r="H11" i="7"/>
  <c r="S10" i="7"/>
  <c r="R10" i="7"/>
  <c r="Q10" i="7"/>
  <c r="P10" i="7"/>
  <c r="N10" i="7"/>
  <c r="I10" i="7"/>
  <c r="H10" i="7"/>
  <c r="S9" i="7"/>
  <c r="R9" i="7"/>
  <c r="Q9" i="7"/>
  <c r="P9" i="7"/>
  <c r="N9" i="7"/>
  <c r="I9" i="7"/>
  <c r="H9" i="7"/>
  <c r="S8" i="7"/>
  <c r="R8" i="7"/>
  <c r="Q8" i="7"/>
  <c r="P8" i="7"/>
  <c r="N8" i="7"/>
  <c r="I8" i="7"/>
  <c r="H8" i="7"/>
  <c r="S7" i="7"/>
  <c r="R7" i="7"/>
  <c r="Q7" i="7"/>
  <c r="P7" i="7"/>
  <c r="N7" i="7"/>
  <c r="I7" i="7"/>
  <c r="H7" i="7"/>
  <c r="I6" i="7"/>
  <c r="H6" i="7"/>
  <c r="P4" i="7"/>
  <c r="I5" i="7"/>
  <c r="H5" i="7"/>
  <c r="I4" i="7"/>
  <c r="H4" i="7"/>
  <c r="I3" i="7"/>
  <c r="H3" i="7"/>
  <c r="I2" i="7"/>
  <c r="H2" i="7"/>
  <c r="H28" i="5"/>
  <c r="N33" i="5"/>
  <c r="N32" i="5"/>
  <c r="N31" i="5"/>
  <c r="S30" i="5"/>
  <c r="R30" i="5"/>
  <c r="Q30" i="5"/>
  <c r="P30" i="5"/>
  <c r="N30" i="5"/>
  <c r="M30" i="5"/>
  <c r="I30" i="5"/>
  <c r="H30" i="5"/>
  <c r="S29" i="5"/>
  <c r="R29" i="5"/>
  <c r="Q29" i="5"/>
  <c r="P29" i="5"/>
  <c r="N29" i="5"/>
  <c r="M29" i="5"/>
  <c r="I29" i="5"/>
  <c r="H29" i="5"/>
  <c r="S28" i="5"/>
  <c r="R28" i="5"/>
  <c r="Q28" i="5"/>
  <c r="P28" i="5"/>
  <c r="N28" i="5"/>
  <c r="M28" i="5"/>
  <c r="I28" i="5"/>
  <c r="S27" i="5"/>
  <c r="R27" i="5"/>
  <c r="Q27" i="5"/>
  <c r="P27" i="5"/>
  <c r="N27" i="5"/>
  <c r="M27" i="5"/>
  <c r="I27" i="5"/>
  <c r="H27" i="5"/>
  <c r="S26" i="5"/>
  <c r="R26" i="5"/>
  <c r="Q26" i="5"/>
  <c r="P26" i="5"/>
  <c r="N26" i="5"/>
  <c r="M26" i="5"/>
  <c r="I26" i="5"/>
  <c r="H26" i="5"/>
  <c r="S25" i="5"/>
  <c r="R25" i="5"/>
  <c r="Q25" i="5"/>
  <c r="P25" i="5"/>
  <c r="N25" i="5"/>
  <c r="M25" i="5"/>
  <c r="I25" i="5"/>
  <c r="H25" i="5"/>
  <c r="S24" i="5"/>
  <c r="R24" i="5"/>
  <c r="Q24" i="5"/>
  <c r="P24" i="5"/>
  <c r="N24" i="5"/>
  <c r="M24" i="5"/>
  <c r="I24" i="5"/>
  <c r="H24" i="5"/>
  <c r="S23" i="5"/>
  <c r="R23" i="5"/>
  <c r="Q23" i="5"/>
  <c r="P23" i="5"/>
  <c r="N23" i="5"/>
  <c r="M23" i="5"/>
  <c r="I23" i="5"/>
  <c r="H23" i="5"/>
  <c r="S22" i="5"/>
  <c r="R22" i="5"/>
  <c r="Q22" i="5"/>
  <c r="P22" i="5"/>
  <c r="N22" i="5"/>
  <c r="M22" i="5"/>
  <c r="I22" i="5"/>
  <c r="H22" i="5"/>
  <c r="S21" i="5"/>
  <c r="R21" i="5"/>
  <c r="Q21" i="5"/>
  <c r="P21" i="5"/>
  <c r="N21" i="5"/>
  <c r="M21" i="5"/>
  <c r="I21" i="5"/>
  <c r="H21" i="5"/>
  <c r="S20" i="5"/>
  <c r="R20" i="5"/>
  <c r="Q20" i="5"/>
  <c r="P20" i="5"/>
  <c r="N20" i="5"/>
  <c r="M20" i="5"/>
  <c r="I20" i="5"/>
  <c r="H20" i="5"/>
  <c r="S19" i="5"/>
  <c r="R19" i="5"/>
  <c r="Q19" i="5"/>
  <c r="P19" i="5"/>
  <c r="N19" i="5"/>
  <c r="M19" i="5"/>
  <c r="I19" i="5"/>
  <c r="H19" i="5"/>
  <c r="S18" i="5"/>
  <c r="R18" i="5"/>
  <c r="Q18" i="5"/>
  <c r="P18" i="5"/>
  <c r="N18" i="5"/>
  <c r="M18" i="5"/>
  <c r="I18" i="5"/>
  <c r="H18" i="5"/>
  <c r="S17" i="5"/>
  <c r="R17" i="5"/>
  <c r="Q17" i="5"/>
  <c r="P17" i="5"/>
  <c r="N17" i="5"/>
  <c r="M17" i="5"/>
  <c r="I17" i="5"/>
  <c r="H17" i="5"/>
  <c r="S16" i="5"/>
  <c r="R16" i="5"/>
  <c r="Q16" i="5"/>
  <c r="P16" i="5"/>
  <c r="N16" i="5"/>
  <c r="M16" i="5"/>
  <c r="I16" i="5"/>
  <c r="H16" i="5"/>
  <c r="S15" i="5"/>
  <c r="R15" i="5"/>
  <c r="Q15" i="5"/>
  <c r="P15" i="5"/>
  <c r="N15" i="5"/>
  <c r="M15" i="5"/>
  <c r="I15" i="5"/>
  <c r="H15" i="5"/>
  <c r="S14" i="5"/>
  <c r="R14" i="5"/>
  <c r="Q14" i="5"/>
  <c r="P14" i="5"/>
  <c r="N14" i="5"/>
  <c r="M14" i="5"/>
  <c r="I14" i="5"/>
  <c r="H14" i="5"/>
  <c r="S13" i="5"/>
  <c r="R13" i="5"/>
  <c r="Q13" i="5"/>
  <c r="P13" i="5"/>
  <c r="N13" i="5"/>
  <c r="M13" i="5"/>
  <c r="I13" i="5"/>
  <c r="H13" i="5"/>
  <c r="S12" i="5"/>
  <c r="R12" i="5"/>
  <c r="Q12" i="5"/>
  <c r="P12" i="5"/>
  <c r="N12" i="5"/>
  <c r="M12" i="5"/>
  <c r="I12" i="5"/>
  <c r="H12" i="5"/>
  <c r="S11" i="5"/>
  <c r="R11" i="5"/>
  <c r="Q11" i="5"/>
  <c r="P11" i="5"/>
  <c r="N11" i="5"/>
  <c r="M11" i="5"/>
  <c r="I11" i="5"/>
  <c r="H11" i="5"/>
  <c r="S10" i="5"/>
  <c r="R10" i="5"/>
  <c r="Q10" i="5"/>
  <c r="P10" i="5"/>
  <c r="N10" i="5"/>
  <c r="M10" i="5"/>
  <c r="I10" i="5"/>
  <c r="H10" i="5"/>
  <c r="S9" i="5"/>
  <c r="R9" i="5"/>
  <c r="Q9" i="5"/>
  <c r="P9" i="5"/>
  <c r="N9" i="5"/>
  <c r="M9" i="5"/>
  <c r="I9" i="5"/>
  <c r="H9" i="5"/>
  <c r="S8" i="5"/>
  <c r="R8" i="5"/>
  <c r="Q8" i="5"/>
  <c r="P8" i="5"/>
  <c r="N8" i="5"/>
  <c r="M8" i="5"/>
  <c r="I8" i="5"/>
  <c r="H8" i="5"/>
  <c r="S7" i="5"/>
  <c r="R7" i="5"/>
  <c r="Q7" i="5"/>
  <c r="P7" i="5"/>
  <c r="N7" i="5"/>
  <c r="M7" i="5"/>
  <c r="I7" i="5"/>
  <c r="H7" i="5"/>
  <c r="M6" i="5"/>
  <c r="I6" i="5"/>
  <c r="H6" i="5"/>
  <c r="M5" i="5"/>
  <c r="I5" i="5"/>
  <c r="H5" i="5"/>
  <c r="M4" i="5"/>
  <c r="I4" i="5"/>
  <c r="H4" i="5"/>
  <c r="M3" i="5"/>
  <c r="I3" i="5"/>
  <c r="H3" i="5"/>
  <c r="M2" i="5"/>
  <c r="I2" i="5"/>
  <c r="H2" i="5"/>
  <c r="H3" i="3"/>
  <c r="I3" i="3"/>
  <c r="H4" i="3"/>
  <c r="I4" i="3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H20" i="3"/>
  <c r="I20" i="3"/>
  <c r="H21" i="3"/>
  <c r="I21" i="3"/>
  <c r="H22" i="3"/>
  <c r="I22" i="3"/>
  <c r="H23" i="3"/>
  <c r="I23" i="3"/>
  <c r="H24" i="3"/>
  <c r="I24" i="3"/>
  <c r="H25" i="3"/>
  <c r="I25" i="3"/>
  <c r="H26" i="3"/>
  <c r="I26" i="3"/>
  <c r="H27" i="3"/>
  <c r="I27" i="3"/>
  <c r="H28" i="3"/>
  <c r="I28" i="3"/>
  <c r="H29" i="3"/>
  <c r="I29" i="3"/>
  <c r="H30" i="3"/>
  <c r="I30" i="3"/>
  <c r="I2" i="3"/>
  <c r="H2" i="3"/>
  <c r="P8" i="3"/>
  <c r="Q8" i="3"/>
  <c r="R8" i="3"/>
  <c r="S8" i="3"/>
  <c r="P9" i="3"/>
  <c r="Q9" i="3"/>
  <c r="R9" i="3"/>
  <c r="S9" i="3"/>
  <c r="P10" i="3"/>
  <c r="Q10" i="3"/>
  <c r="R10" i="3"/>
  <c r="S10" i="3"/>
  <c r="P11" i="3"/>
  <c r="Q11" i="3"/>
  <c r="R11" i="3"/>
  <c r="S11" i="3"/>
  <c r="P12" i="3"/>
  <c r="Q12" i="3"/>
  <c r="R12" i="3"/>
  <c r="S12" i="3"/>
  <c r="P13" i="3"/>
  <c r="Q13" i="3"/>
  <c r="R13" i="3"/>
  <c r="S13" i="3"/>
  <c r="P14" i="3"/>
  <c r="Q14" i="3"/>
  <c r="R14" i="3"/>
  <c r="S14" i="3"/>
  <c r="P15" i="3"/>
  <c r="Q15" i="3"/>
  <c r="R15" i="3"/>
  <c r="S15" i="3"/>
  <c r="P16" i="3"/>
  <c r="Q16" i="3"/>
  <c r="R16" i="3"/>
  <c r="S16" i="3"/>
  <c r="P17" i="3"/>
  <c r="Q17" i="3"/>
  <c r="R17" i="3"/>
  <c r="S17" i="3"/>
  <c r="P18" i="3"/>
  <c r="Q18" i="3"/>
  <c r="R18" i="3"/>
  <c r="S18" i="3"/>
  <c r="P19" i="3"/>
  <c r="Q19" i="3"/>
  <c r="R19" i="3"/>
  <c r="S19" i="3"/>
  <c r="P20" i="3"/>
  <c r="Q20" i="3"/>
  <c r="R20" i="3"/>
  <c r="S20" i="3"/>
  <c r="P21" i="3"/>
  <c r="Q21" i="3"/>
  <c r="R21" i="3"/>
  <c r="S21" i="3"/>
  <c r="P22" i="3"/>
  <c r="Q22" i="3"/>
  <c r="R22" i="3"/>
  <c r="S22" i="3"/>
  <c r="P23" i="3"/>
  <c r="Q23" i="3"/>
  <c r="R23" i="3"/>
  <c r="S23" i="3"/>
  <c r="P24" i="3"/>
  <c r="Q24" i="3"/>
  <c r="R24" i="3"/>
  <c r="S24" i="3"/>
  <c r="P25" i="3"/>
  <c r="Q25" i="3"/>
  <c r="R25" i="3"/>
  <c r="S25" i="3"/>
  <c r="P26" i="3"/>
  <c r="Q26" i="3"/>
  <c r="R26" i="3"/>
  <c r="S26" i="3"/>
  <c r="P27" i="3"/>
  <c r="Q27" i="3"/>
  <c r="R27" i="3"/>
  <c r="S27" i="3"/>
  <c r="P28" i="3"/>
  <c r="Q28" i="3"/>
  <c r="R28" i="3"/>
  <c r="S28" i="3"/>
  <c r="P29" i="3"/>
  <c r="Q29" i="3"/>
  <c r="R29" i="3"/>
  <c r="S29" i="3"/>
  <c r="P30" i="3"/>
  <c r="Q30" i="3"/>
  <c r="R30" i="3"/>
  <c r="S30" i="3"/>
  <c r="P31" i="3"/>
  <c r="Q31" i="3"/>
  <c r="R31" i="3"/>
  <c r="S31" i="3"/>
  <c r="P32" i="3"/>
  <c r="Q32" i="3"/>
  <c r="R32" i="3"/>
  <c r="S32" i="3"/>
  <c r="P33" i="3"/>
  <c r="Q33" i="3"/>
  <c r="R33" i="3"/>
  <c r="S33" i="3"/>
  <c r="Q7" i="3"/>
  <c r="R7" i="3"/>
  <c r="S7" i="3"/>
  <c r="P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7" i="3"/>
  <c r="J33" i="3" l="1"/>
  <c r="J14" i="3"/>
  <c r="L14" i="3" s="1"/>
  <c r="U19" i="3" s="1"/>
  <c r="J6" i="3"/>
  <c r="L6" i="3" s="1"/>
  <c r="U11" i="3" s="1"/>
  <c r="J7" i="3"/>
  <c r="L7" i="3" s="1"/>
  <c r="U12" i="3" s="1"/>
  <c r="J5" i="3"/>
  <c r="L5" i="3" s="1"/>
  <c r="U10" i="3" s="1"/>
  <c r="J4" i="3"/>
  <c r="J8" i="7"/>
  <c r="J32" i="7"/>
  <c r="K32" i="7" s="1"/>
  <c r="J5" i="7"/>
  <c r="L5" i="7" s="1"/>
  <c r="J11" i="3"/>
  <c r="L11" i="3" s="1"/>
  <c r="U16" i="3" s="1"/>
  <c r="J18" i="3"/>
  <c r="K18" i="3" s="1"/>
  <c r="T23" i="3" s="1"/>
  <c r="J31" i="3"/>
  <c r="K31" i="3" s="1"/>
  <c r="T36" i="3" s="1"/>
  <c r="J31" i="7"/>
  <c r="K31" i="7" s="1"/>
  <c r="J33" i="7"/>
  <c r="L33" i="7" s="1"/>
  <c r="J32" i="5"/>
  <c r="K32" i="5" s="1"/>
  <c r="J31" i="5"/>
  <c r="K31" i="5" s="1"/>
  <c r="J21" i="3"/>
  <c r="L21" i="3" s="1"/>
  <c r="U26" i="3" s="1"/>
  <c r="J13" i="3"/>
  <c r="L13" i="3" s="1"/>
  <c r="U18" i="3" s="1"/>
  <c r="J32" i="3"/>
  <c r="K32" i="3" s="1"/>
  <c r="T37" i="3" s="1"/>
  <c r="L32" i="7"/>
  <c r="K33" i="7"/>
  <c r="L31" i="5"/>
  <c r="L33" i="3"/>
  <c r="K33" i="3"/>
  <c r="J20" i="3"/>
  <c r="L20" i="3" s="1"/>
  <c r="U25" i="3" s="1"/>
  <c r="J3" i="3"/>
  <c r="L3" i="3" s="1"/>
  <c r="U8" i="3" s="1"/>
  <c r="J10" i="3"/>
  <c r="L10" i="3" s="1"/>
  <c r="U15" i="3" s="1"/>
  <c r="J19" i="3"/>
  <c r="L19" i="3" s="1"/>
  <c r="U24" i="3" s="1"/>
  <c r="J15" i="3"/>
  <c r="L15" i="3" s="1"/>
  <c r="U20" i="3" s="1"/>
  <c r="J30" i="5"/>
  <c r="M36" i="5"/>
  <c r="J10" i="5"/>
  <c r="L10" i="5" s="1"/>
  <c r="O31" i="5"/>
  <c r="O36" i="5"/>
  <c r="O32" i="5"/>
  <c r="O37" i="5"/>
  <c r="O33" i="5"/>
  <c r="O34" i="5"/>
  <c r="O35" i="5"/>
  <c r="O36" i="3"/>
  <c r="O37" i="3"/>
  <c r="J30" i="3"/>
  <c r="L30" i="3" s="1"/>
  <c r="U35" i="3" s="1"/>
  <c r="J26" i="3"/>
  <c r="K26" i="3" s="1"/>
  <c r="T31" i="3" s="1"/>
  <c r="O36" i="7"/>
  <c r="O7" i="7"/>
  <c r="O37" i="7"/>
  <c r="O35" i="7"/>
  <c r="O22" i="5"/>
  <c r="O34" i="3"/>
  <c r="J24" i="3"/>
  <c r="L24" i="3" s="1"/>
  <c r="U29" i="3" s="1"/>
  <c r="O35" i="3"/>
  <c r="O18" i="7"/>
  <c r="O8" i="7"/>
  <c r="O19" i="7"/>
  <c r="O32" i="7"/>
  <c r="O9" i="7"/>
  <c r="O23" i="7"/>
  <c r="O11" i="7"/>
  <c r="O25" i="7"/>
  <c r="O15" i="7"/>
  <c r="O26" i="7"/>
  <c r="O10" i="7"/>
  <c r="O24" i="7"/>
  <c r="O16" i="7"/>
  <c r="O27" i="7"/>
  <c r="O17" i="7"/>
  <c r="O33" i="7"/>
  <c r="O12" i="7"/>
  <c r="O20" i="7"/>
  <c r="O28" i="7"/>
  <c r="O31" i="7"/>
  <c r="O13" i="7"/>
  <c r="O21" i="7"/>
  <c r="O29" i="7"/>
  <c r="O14" i="7"/>
  <c r="O22" i="7"/>
  <c r="O30" i="7"/>
  <c r="O34" i="7"/>
  <c r="O11" i="3"/>
  <c r="O7" i="5"/>
  <c r="O15" i="5"/>
  <c r="O23" i="5"/>
  <c r="O8" i="5"/>
  <c r="O16" i="5"/>
  <c r="O24" i="5"/>
  <c r="O25" i="5"/>
  <c r="O11" i="5"/>
  <c r="O9" i="5"/>
  <c r="O17" i="5"/>
  <c r="O10" i="5"/>
  <c r="O18" i="5"/>
  <c r="O26" i="5"/>
  <c r="O12" i="5"/>
  <c r="O20" i="5"/>
  <c r="O29" i="5"/>
  <c r="O19" i="5"/>
  <c r="O27" i="5"/>
  <c r="O28" i="5"/>
  <c r="O13" i="5"/>
  <c r="O21" i="5"/>
  <c r="O30" i="5"/>
  <c r="O14" i="5"/>
  <c r="O30" i="3"/>
  <c r="O22" i="3"/>
  <c r="O33" i="3"/>
  <c r="O27" i="3"/>
  <c r="O19" i="3"/>
  <c r="O26" i="3"/>
  <c r="O18" i="3"/>
  <c r="O10" i="3"/>
  <c r="O9" i="3"/>
  <c r="O14" i="3"/>
  <c r="O29" i="3"/>
  <c r="O13" i="3"/>
  <c r="O25" i="3"/>
  <c r="O17" i="3"/>
  <c r="O7" i="3"/>
  <c r="O24" i="3"/>
  <c r="O16" i="3"/>
  <c r="O8" i="3"/>
  <c r="O31" i="3"/>
  <c r="O23" i="3"/>
  <c r="O15" i="3"/>
  <c r="O21" i="3"/>
  <c r="O28" i="3"/>
  <c r="O20" i="3"/>
  <c r="O12" i="3"/>
  <c r="O32" i="3"/>
  <c r="J22" i="3"/>
  <c r="L22" i="3" s="1"/>
  <c r="U27" i="3" s="1"/>
  <c r="J25" i="3"/>
  <c r="K25" i="3" s="1"/>
  <c r="T30" i="3" s="1"/>
  <c r="J16" i="3"/>
  <c r="K16" i="3" s="1"/>
  <c r="T21" i="3" s="1"/>
  <c r="J12" i="3"/>
  <c r="L12" i="3" s="1"/>
  <c r="U17" i="3" s="1"/>
  <c r="J8" i="3"/>
  <c r="L8" i="3" s="1"/>
  <c r="U13" i="3" s="1"/>
  <c r="J17" i="3"/>
  <c r="K17" i="3" s="1"/>
  <c r="T22" i="3" s="1"/>
  <c r="J9" i="3"/>
  <c r="K9" i="3" s="1"/>
  <c r="T14" i="3" s="1"/>
  <c r="J28" i="3"/>
  <c r="L28" i="3" s="1"/>
  <c r="U33" i="3" s="1"/>
  <c r="K13" i="3"/>
  <c r="T18" i="3" s="1"/>
  <c r="J23" i="3"/>
  <c r="L23" i="3" s="1"/>
  <c r="U28" i="3" s="1"/>
  <c r="L4" i="3"/>
  <c r="U9" i="3" s="1"/>
  <c r="K4" i="3"/>
  <c r="T9" i="3" s="1"/>
  <c r="J29" i="3"/>
  <c r="L29" i="3" s="1"/>
  <c r="U34" i="3" s="1"/>
  <c r="J12" i="5"/>
  <c r="J20" i="5"/>
  <c r="J13" i="5"/>
  <c r="K21" i="3"/>
  <c r="T26" i="3" s="1"/>
  <c r="J27" i="3"/>
  <c r="L27" i="3" s="1"/>
  <c r="U32" i="3" s="1"/>
  <c r="J22" i="5"/>
  <c r="L22" i="5" s="1"/>
  <c r="J23" i="5"/>
  <c r="L23" i="5" s="1"/>
  <c r="K5" i="3"/>
  <c r="T10" i="3" s="1"/>
  <c r="J9" i="5"/>
  <c r="J17" i="5"/>
  <c r="L17" i="5" s="1"/>
  <c r="J12" i="7"/>
  <c r="K12" i="7" s="1"/>
  <c r="J4" i="7"/>
  <c r="J9" i="7"/>
  <c r="K9" i="7" s="1"/>
  <c r="J28" i="7"/>
  <c r="K28" i="7" s="1"/>
  <c r="J2" i="7"/>
  <c r="J7" i="7"/>
  <c r="K7" i="7" s="1"/>
  <c r="J22" i="7"/>
  <c r="L22" i="7" s="1"/>
  <c r="J6" i="7"/>
  <c r="K6" i="7" s="1"/>
  <c r="J17" i="7"/>
  <c r="K17" i="7" s="1"/>
  <c r="J18" i="7"/>
  <c r="J26" i="7"/>
  <c r="K26" i="7" s="1"/>
  <c r="J19" i="7"/>
  <c r="J27" i="7"/>
  <c r="J30" i="7"/>
  <c r="L30" i="7" s="1"/>
  <c r="J3" i="7"/>
  <c r="J23" i="7"/>
  <c r="J13" i="7"/>
  <c r="K13" i="7" s="1"/>
  <c r="J25" i="7"/>
  <c r="J10" i="7"/>
  <c r="L10" i="7" s="1"/>
  <c r="J14" i="7"/>
  <c r="K14" i="7" s="1"/>
  <c r="J11" i="7"/>
  <c r="J15" i="7"/>
  <c r="K15" i="7" s="1"/>
  <c r="J16" i="7"/>
  <c r="J20" i="7"/>
  <c r="J21" i="7"/>
  <c r="L21" i="7" s="1"/>
  <c r="J29" i="7"/>
  <c r="J24" i="7"/>
  <c r="K2" i="7"/>
  <c r="K22" i="7"/>
  <c r="K18" i="7"/>
  <c r="L8" i="7"/>
  <c r="K8" i="7"/>
  <c r="K19" i="7"/>
  <c r="K5" i="7"/>
  <c r="J14" i="5"/>
  <c r="J21" i="5"/>
  <c r="K21" i="5" s="1"/>
  <c r="J5" i="5"/>
  <c r="K5" i="5" s="1"/>
  <c r="J8" i="5"/>
  <c r="K8" i="5" s="1"/>
  <c r="J2" i="5"/>
  <c r="J3" i="5"/>
  <c r="L3" i="5" s="1"/>
  <c r="J18" i="5"/>
  <c r="K18" i="5" s="1"/>
  <c r="J11" i="5"/>
  <c r="L11" i="5" s="1"/>
  <c r="J19" i="5"/>
  <c r="J26" i="5"/>
  <c r="K26" i="5" s="1"/>
  <c r="J7" i="5"/>
  <c r="L7" i="5" s="1"/>
  <c r="J15" i="5"/>
  <c r="L15" i="5" s="1"/>
  <c r="J27" i="5"/>
  <c r="L27" i="5" s="1"/>
  <c r="J16" i="5"/>
  <c r="L16" i="5" s="1"/>
  <c r="J28" i="5"/>
  <c r="L28" i="5" s="1"/>
  <c r="J29" i="5"/>
  <c r="L29" i="5" s="1"/>
  <c r="J4" i="5"/>
  <c r="K4" i="5" s="1"/>
  <c r="J6" i="5"/>
  <c r="K6" i="5" s="1"/>
  <c r="J24" i="5"/>
  <c r="K24" i="5" s="1"/>
  <c r="J25" i="5"/>
  <c r="K25" i="5" s="1"/>
  <c r="L9" i="5"/>
  <c r="K9" i="5"/>
  <c r="L30" i="5"/>
  <c r="K30" i="5"/>
  <c r="K10" i="5"/>
  <c r="L12" i="5"/>
  <c r="K12" i="5"/>
  <c r="L14" i="5"/>
  <c r="K14" i="5"/>
  <c r="L19" i="5"/>
  <c r="K19" i="5"/>
  <c r="L4" i="5"/>
  <c r="L13" i="5"/>
  <c r="K13" i="5"/>
  <c r="K20" i="5"/>
  <c r="L20" i="5"/>
  <c r="K17" i="5"/>
  <c r="K22" i="5"/>
  <c r="K15" i="3"/>
  <c r="T20" i="3" s="1"/>
  <c r="K7" i="3"/>
  <c r="T12" i="3" s="1"/>
  <c r="K14" i="3"/>
  <c r="T19" i="3" s="1"/>
  <c r="K6" i="3"/>
  <c r="T11" i="3" s="1"/>
  <c r="L18" i="3"/>
  <c r="U23" i="3" s="1"/>
  <c r="J2" i="3"/>
  <c r="K2" i="3" s="1"/>
  <c r="T7" i="3" s="1"/>
  <c r="L32" i="3" l="1"/>
  <c r="U37" i="3" s="1"/>
  <c r="L31" i="7"/>
  <c r="L32" i="5"/>
  <c r="K3" i="3"/>
  <c r="T8" i="3" s="1"/>
  <c r="K11" i="3"/>
  <c r="T16" i="3" s="1"/>
  <c r="K30" i="3"/>
  <c r="T35" i="3" s="1"/>
  <c r="K8" i="3"/>
  <c r="T13" i="3" s="1"/>
  <c r="L26" i="3"/>
  <c r="U31" i="3" s="1"/>
  <c r="L31" i="3"/>
  <c r="U36" i="3" s="1"/>
  <c r="L7" i="7"/>
  <c r="L13" i="7"/>
  <c r="L28" i="7"/>
  <c r="L16" i="3"/>
  <c r="U21" i="3" s="1"/>
  <c r="L9" i="3"/>
  <c r="U14" i="3" s="1"/>
  <c r="K10" i="3"/>
  <c r="T15" i="3" s="1"/>
  <c r="L25" i="3"/>
  <c r="U30" i="3" s="1"/>
  <c r="K11" i="5"/>
  <c r="L26" i="5"/>
  <c r="K29" i="5"/>
  <c r="L17" i="7"/>
  <c r="L12" i="7"/>
  <c r="L5" i="5"/>
  <c r="L8" i="5"/>
  <c r="K23" i="5"/>
  <c r="L21" i="5"/>
  <c r="K28" i="5"/>
  <c r="K20" i="3"/>
  <c r="T25" i="3" s="1"/>
  <c r="K22" i="3"/>
  <c r="T27" i="3" s="1"/>
  <c r="K19" i="3"/>
  <c r="T24" i="3" s="1"/>
  <c r="L37" i="3"/>
  <c r="L2" i="5"/>
  <c r="L37" i="5"/>
  <c r="P3" i="5" s="1"/>
  <c r="K16" i="5"/>
  <c r="L37" i="7"/>
  <c r="K24" i="3"/>
  <c r="T29" i="3" s="1"/>
  <c r="L15" i="7"/>
  <c r="K29" i="3"/>
  <c r="T34" i="3" s="1"/>
  <c r="L2" i="3"/>
  <c r="U7" i="3" s="1"/>
  <c r="K28" i="3"/>
  <c r="T33" i="3" s="1"/>
  <c r="L17" i="3"/>
  <c r="U22" i="3" s="1"/>
  <c r="K23" i="3"/>
  <c r="T28" i="3" s="1"/>
  <c r="K12" i="3"/>
  <c r="T17" i="3" s="1"/>
  <c r="K27" i="3"/>
  <c r="T32" i="3" s="1"/>
  <c r="L25" i="5"/>
  <c r="L6" i="5"/>
  <c r="L24" i="5"/>
  <c r="K21" i="7"/>
  <c r="L18" i="7"/>
  <c r="K27" i="5"/>
  <c r="K15" i="5"/>
  <c r="K3" i="5"/>
  <c r="K2" i="5"/>
  <c r="L16" i="7"/>
  <c r="L18" i="5"/>
  <c r="K16" i="7"/>
  <c r="K4" i="7"/>
  <c r="L9" i="7"/>
  <c r="L4" i="7"/>
  <c r="K3" i="7"/>
  <c r="K11" i="7"/>
  <c r="K30" i="7"/>
  <c r="L2" i="7"/>
  <c r="L24" i="7"/>
  <c r="L14" i="7"/>
  <c r="L19" i="7"/>
  <c r="K29" i="7"/>
  <c r="K10" i="7"/>
  <c r="L26" i="7"/>
  <c r="K27" i="7"/>
  <c r="K25" i="7"/>
  <c r="L27" i="7"/>
  <c r="L25" i="7"/>
  <c r="L20" i="7"/>
  <c r="K23" i="7"/>
  <c r="L6" i="7"/>
  <c r="L3" i="7"/>
  <c r="L23" i="7"/>
  <c r="K24" i="7"/>
  <c r="K20" i="7"/>
  <c r="L11" i="7"/>
  <c r="L29" i="7"/>
  <c r="K7" i="5"/>
  <c r="P4" i="5"/>
  <c r="K36" i="7" l="1"/>
  <c r="L36" i="5"/>
  <c r="K36" i="3"/>
  <c r="K36" i="5"/>
  <c r="L36" i="7"/>
  <c r="L36" i="3"/>
  <c r="P3" i="7"/>
  <c r="P4" i="3" l="1"/>
  <c r="P3" i="3" l="1"/>
  <c r="T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<sst xmlns="http://schemas.openxmlformats.org/spreadsheetml/2006/main" count="96" uniqueCount="34">
  <si>
    <t>﻿日付</t>
  </si>
  <si>
    <t>出勤1</t>
  </si>
  <si>
    <t>退勤1</t>
  </si>
  <si>
    <t>出勤2</t>
  </si>
  <si>
    <t>退勤2</t>
  </si>
  <si>
    <t>計算用出勤</t>
    <rPh sb="0" eb="3">
      <t xml:space="preserve">ケイサンヨウ </t>
    </rPh>
    <rPh sb="3" eb="5">
      <t xml:space="preserve">シュッキｎ </t>
    </rPh>
    <phoneticPr fontId="1"/>
  </si>
  <si>
    <t>計算用勤務時間</t>
    <rPh sb="0" eb="2">
      <t xml:space="preserve">ケイサン </t>
    </rPh>
    <rPh sb="2" eb="3">
      <t xml:space="preserve">ヨウ </t>
    </rPh>
    <rPh sb="3" eb="7">
      <t xml:space="preserve">キンムジカｎ </t>
    </rPh>
    <phoneticPr fontId="1"/>
  </si>
  <si>
    <t>勤務時間(&lt;8h)</t>
    <rPh sb="0" eb="4">
      <t xml:space="preserve">キンムジカｎ </t>
    </rPh>
    <phoneticPr fontId="1"/>
  </si>
  <si>
    <t>勤務時間(8h&lt;=)</t>
    <rPh sb="0" eb="4">
      <t xml:space="preserve">キンムジカｎ </t>
    </rPh>
    <phoneticPr fontId="1"/>
  </si>
  <si>
    <t>正社員残業</t>
    <rPh sb="0" eb="3">
      <t xml:space="preserve">セイシャイｎ </t>
    </rPh>
    <rPh sb="3" eb="5">
      <t xml:space="preserve">ザンギョウ </t>
    </rPh>
    <phoneticPr fontId="1"/>
  </si>
  <si>
    <t>有給</t>
    <rPh sb="0" eb="2">
      <t xml:space="preserve">ユウキュウ </t>
    </rPh>
    <phoneticPr fontId="1"/>
  </si>
  <si>
    <t>勤務日数</t>
    <rPh sb="0" eb="4">
      <t xml:space="preserve">キンムニッスウ </t>
    </rPh>
    <phoneticPr fontId="1"/>
  </si>
  <si>
    <t>分</t>
    <rPh sb="0" eb="1">
      <t xml:space="preserve">フｎ </t>
    </rPh>
    <phoneticPr fontId="1"/>
  </si>
  <si>
    <t>日</t>
    <rPh sb="0" eb="1">
      <t xml:space="preserve">ニチ </t>
    </rPh>
    <phoneticPr fontId="1"/>
  </si>
  <si>
    <t>月</t>
    <rPh sb="0" eb="1">
      <t xml:space="preserve">ガツ </t>
    </rPh>
    <phoneticPr fontId="1"/>
  </si>
  <si>
    <t>氏名</t>
    <rPh sb="0" eb="2">
      <t xml:space="preserve">シメイ </t>
    </rPh>
    <phoneticPr fontId="1"/>
  </si>
  <si>
    <t>(8h&lt;=)</t>
    <phoneticPr fontId="1"/>
  </si>
  <si>
    <t>備考</t>
    <rPh sb="0" eb="2">
      <t xml:space="preserve">ビコウ </t>
    </rPh>
    <phoneticPr fontId="1"/>
  </si>
  <si>
    <t>合計勤務時間</t>
    <rPh sb="0" eb="2">
      <t xml:space="preserve">ゴウケイ </t>
    </rPh>
    <rPh sb="2" eb="6">
      <t xml:space="preserve">キンムジカｎ </t>
    </rPh>
    <phoneticPr fontId="1"/>
  </si>
  <si>
    <t>合計勤務時間８ｈ以上</t>
    <rPh sb="0" eb="1">
      <t xml:space="preserve">ゴウケイキンムジカｎ </t>
    </rPh>
    <rPh sb="8" eb="10">
      <t xml:space="preserve">イジョウ </t>
    </rPh>
    <phoneticPr fontId="1"/>
  </si>
  <si>
    <t>出勤</t>
    <rPh sb="0" eb="2">
      <t xml:space="preserve">シュッキｎ </t>
    </rPh>
    <phoneticPr fontId="1"/>
  </si>
  <si>
    <t>退勤</t>
    <rPh sb="0" eb="2">
      <t xml:space="preserve">タイキｎ </t>
    </rPh>
    <phoneticPr fontId="1"/>
  </si>
  <si>
    <t>日付確認用</t>
    <rPh sb="0" eb="5">
      <t xml:space="preserve">ヒヅケカクニンヨウ </t>
    </rPh>
    <phoneticPr fontId="1"/>
  </si>
  <si>
    <t>残業</t>
    <rPh sb="0" eb="2">
      <t xml:space="preserve">ザンギョウ </t>
    </rPh>
    <phoneticPr fontId="1"/>
  </si>
  <si>
    <t>日付</t>
  </si>
  <si>
    <t>年</t>
  </si>
  <si>
    <t>要確認</t>
    <rPh sb="0" eb="3">
      <t xml:space="preserve">ヨウカクニｎ </t>
    </rPh>
    <phoneticPr fontId="1"/>
  </si>
  <si>
    <t>AM有給</t>
    <rPh sb="2" eb="4">
      <t xml:space="preserve">ユウキュウ </t>
    </rPh>
    <phoneticPr fontId="1"/>
  </si>
  <si>
    <t>PM有給</t>
    <rPh sb="2" eb="4">
      <t xml:space="preserve">ユウキュウ </t>
    </rPh>
    <phoneticPr fontId="1"/>
  </si>
  <si>
    <t>早退</t>
    <rPh sb="0" eb="2">
      <t xml:space="preserve">ソウタイ </t>
    </rPh>
    <phoneticPr fontId="1"/>
  </si>
  <si>
    <t>遅刻</t>
    <rPh sb="0" eb="2">
      <t xml:space="preserve">チコク </t>
    </rPh>
    <phoneticPr fontId="1"/>
  </si>
  <si>
    <t>欠勤</t>
    <rPh sb="0" eb="2">
      <t xml:space="preserve">ケッキｎ </t>
    </rPh>
    <phoneticPr fontId="1"/>
  </si>
  <si>
    <t>中抜け</t>
    <rPh sb="0" eb="2">
      <t xml:space="preserve">ナカヌケ </t>
    </rPh>
    <phoneticPr fontId="1"/>
  </si>
  <si>
    <t>追加残業</t>
    <rPh sb="0" eb="4">
      <t xml:space="preserve">ツイカザンギョウ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</si>
</sst>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F400]h:mm:ss\ AM/PM"/>
    <numFmt numFmtId="177" formatCode="h:mm;@"/>
    <numFmt numFmtId="178" formatCode="[mm]"/>
    <numFmt numFmtId="179" formatCode="mm/dd\(aaa\)"/>
  </numFmts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178" fontId="0" fillId="0" borderId="0" xfId="0" applyNumberFormat="1"/>
    <xf numFmtId="179" fontId="0" fillId="0" borderId="0" xfId="0" applyNumberFormat="1"/>
    <xf numFmtId="20" fontId="0" fillId="0" borderId="0" xfId="0" applyNumberFormat="1"/>
    <xf numFmtId="177" fontId="0" fillId="0" borderId="0" xfId="0" applyNumberFormat="1"/>
    <xf numFmtId="176" fontId="0" fillId="0" borderId="0" xfId="0" applyNumberFormat="1"/>
    <xf numFmtId="0" fontId="2" fillId="2" borderId="0" xfId="0" applyFont="1" applyFill="1"/>
    <xf numFmtId="0" fontId="0" fillId="2" borderId="0" xfId="0" applyFill="1"/>
    <xf numFmtId="178" fontId="0" fillId="2" borderId="0" xfId="0" applyNumberFormat="1" applyFill="1"/>
    <xf numFmtId="179" fontId="0" fillId="2" borderId="0" xfId="0" applyNumberFormat="1" applyFill="1"/>
    <xf numFmtId="20" fontId="0" fillId="2" borderId="0" xfId="0" applyNumberFormat="1" applyFill="1"/>
    <xf numFmtId="177" fontId="0" fillId="2" borderId="0" xfId="0" applyNumberFormat="1" applyFill="1"/>
    <xf numFmtId="0" fontId="3" fillId="3" borderId="0" xfId="0" applyFont="1" applyFill="1"/>
    <xf numFmtId="0" fontId="0" fillId="3" borderId="0" xfId="0" applyFill="1"/>
    <xf numFmtId="0" fontId="3" fillId="0" borderId="0" xfId="0" applyFont="1"/>
  </cellXfs>
  <cellStyles count="1">
    <cellStyle name="標準" xfId="0" builtinId="0"/>
  </cellStyles>
  <dxfs count="4"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  <dxf>
      <font>
        <b val="0"/>
        <i val="0"/>
        <color theme="0" tint="-0.14996795556505021"/>
      </font>
      <fill>
        <patternFill>
          <fgColor auto="1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812800</xdr:colOff>
          <xdr:row>2</xdr:row>
          <xdr:rowOff>38100</xdr:rowOff>
        </xdr:from>
        <xdr:to>
          <xdr:col>2</xdr:col>
          <xdr:colOff>685800</xdr:colOff>
          <xdr:row>3</xdr:row>
          <xdr:rowOff>190500</xdr:rowOff>
        </xdr:to>
        <xdr:sp macro="" textlink="">
          <xdr:nvSpPr>
            <xdr:cNvPr id="2049" name="Button 1" descr="pdf作成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全員分のpdf作成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215900</xdr:rowOff>
        </xdr:from>
        <xdr:to>
          <xdr:col>2</xdr:col>
          <xdr:colOff>698500</xdr:colOff>
          <xdr:row>7</xdr:row>
          <xdr:rowOff>139700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全員分を印刷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0540-B933-3A45-A0C1-6F75CBF71422}">
  <sheetPr codeName="Sheet4"/>
  <dimension ref="F1:M1"/>
  <sheetViews>
    <sheetView workbookViewId="0">
      <selection activeCell="D11" sqref="D11"/>
    </sheetView>
  </sheetViews>
  <sheetFormatPr baseColWidth="10" defaultRowHeight="18"/>
  <sheetData>
    <row r="1" spans="6:13">
      <c r="F1" t="s">
        <v>10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</row>
  </sheetData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nvert_pdf" altText="pdf作成">
                <anchor moveWithCells="1" sizeWithCells="1">
                  <from>
                    <xdr:col>0</xdr:col>
                    <xdr:colOff>812800</xdr:colOff>
                    <xdr:row>2</xdr:row>
                    <xdr:rowOff>38100</xdr:rowOff>
                  </from>
                  <to>
                    <xdr:col>2</xdr:col>
                    <xdr:colOff>685800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int_sheets">
                <anchor moveWithCells="1" sizeWithCells="1">
                  <from>
                    <xdr:col>1</xdr:col>
                    <xdr:colOff>0</xdr:colOff>
                    <xdr:row>5</xdr:row>
                    <xdr:rowOff>215900</xdr:rowOff>
                  </from>
                  <to>
                    <xdr:col>2</xdr:col>
                    <xdr:colOff>698500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D573C-00D2-6B44-A6BF-CFE9C84B9B18}">
  <sheetPr codeName="Sheet1">
    <pageSetUpPr fitToPage="1"/>
  </sheetPr>
  <dimension ref="A1:V38"/>
  <sheetViews>
    <sheetView workbookViewId="0">
      <selection activeCell="G2" sqref="G2"/>
    </sheetView>
  </sheetViews>
  <sheetFormatPr baseColWidth="10" defaultRowHeight="18"/>
  <cols>
    <col min="1" max="1" width="17.1640625" bestFit="1" customWidth="1"/>
    <col min="2" max="5" width="6.6640625" bestFit="1" customWidth="1"/>
    <col min="6" max="6" width="7.5" bestFit="1" customWidth="1"/>
    <col min="10" max="10" width="15" bestFit="1" customWidth="1"/>
    <col min="11" max="11" width="14.33203125" bestFit="1" customWidth="1"/>
    <col min="12" max="12" width="15.83203125" bestFit="1" customWidth="1"/>
    <col min="14" max="14" width="17.1640625" bestFit="1" customWidth="1"/>
    <col min="15" max="15" width="13" bestFit="1" customWidth="1"/>
    <col min="20" max="20" width="14.33203125" bestFit="1" customWidth="1"/>
  </cols>
  <sheetData>
    <row r="1" spans="1:22" ht="31">
      <c r="A1" t="s">
        <v>24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17</v>
      </c>
      <c r="H1" s="6" t="s">
        <v>5</v>
      </c>
      <c r="I1" t="s">
        <v>5</v>
      </c>
      <c r="J1" t="s">
        <v>6</v>
      </c>
      <c r="K1" t="s">
        <v>7</v>
      </c>
      <c r="L1" t="s">
        <v>8</v>
      </c>
      <c r="O1" s="7">
        <f>year</f>
        <v>2000</v>
      </c>
      <c r="P1" s="7" t="s">
        <v>25</v>
      </c>
      <c r="Q1" s="7">
        <f>month</f>
        <v>1</v>
      </c>
      <c r="R1" s="7" t="s">
        <v>14</v>
      </c>
      <c r="S1" s="8" t="s">
        <v>15</v>
      </c>
      <c r="T1" s="8" t="str" cm="1">
        <f t="array" aca="1" ref="T1" ca="1">MID(CELL("filename", A1), FIND("]", CELL("filename", A1)) + 1, LEN(CELL("filename", A1)) - FIND("]", CELL("filename", A1)))</f>
        <v>パート</v>
      </c>
      <c r="U1" s="8"/>
      <c r="V1" s="8"/>
    </row>
    <row r="2" spans="1:22">
      <c r="B2" s="4"/>
      <c r="C2" s="4"/>
      <c r="D2" s="4"/>
      <c r="E2" s="4"/>
      <c r="F2" s="4"/>
      <c r="H2" s="5">
        <f t="shared" ref="H2:H33" si="0">IFERROR(CEILING(B2, "0:30"), 0)</f>
        <v>0</v>
      </c>
      <c r="I2" s="5">
        <f t="shared" ref="I2:I33" si="1">IFERROR(CEILING(D2, "0:30"), 0)</f>
        <v>0</v>
      </c>
      <c r="J2" s="5">
        <f t="shared" ref="J2:J33" si="2">IFERROR(C2-H2, 0) + IFERROR(E2 - I2, 0)</f>
        <v>0</v>
      </c>
      <c r="K2" s="5">
        <f>MIN("8:00", J2)</f>
        <v>0</v>
      </c>
      <c r="L2" s="5">
        <f t="shared" ref="L2:L30" si="3">MAX("8:00", J2) - "8:00"</f>
        <v>0</v>
      </c>
      <c r="O2" s="8"/>
      <c r="P2" s="8"/>
      <c r="Q2" s="8"/>
      <c r="R2" s="8"/>
      <c r="S2" s="8"/>
      <c r="T2" s="8"/>
      <c r="U2" s="8"/>
      <c r="V2" s="8"/>
    </row>
    <row r="3" spans="1:22">
      <c r="B3" s="4"/>
      <c r="C3" s="4"/>
      <c r="H3" s="5">
        <f t="shared" si="0"/>
        <v>0</v>
      </c>
      <c r="I3" s="5">
        <f t="shared" si="1"/>
        <v>0</v>
      </c>
      <c r="J3" s="5">
        <f t="shared" si="2"/>
        <v>0</v>
      </c>
      <c r="K3" s="5">
        <f t="shared" ref="K3:K30" si="4">MIN("8:00", J3)</f>
        <v>0</v>
      </c>
      <c r="L3" s="5">
        <f t="shared" si="3"/>
        <v>0</v>
      </c>
      <c r="O3" s="13" t="s">
        <v>11</v>
      </c>
      <c r="P3" s="8">
        <f>L37</f>
        <v>0</v>
      </c>
      <c r="Q3" s="8" t="s">
        <v>13</v>
      </c>
      <c r="R3" s="8"/>
      <c r="S3" s="8"/>
      <c r="T3" s="8"/>
      <c r="U3" s="8"/>
      <c r="V3" s="8"/>
    </row>
    <row r="4" spans="1:22">
      <c r="B4" s="4"/>
      <c r="C4" s="4"/>
      <c r="H4" s="5">
        <f t="shared" si="0"/>
        <v>0</v>
      </c>
      <c r="I4" s="5">
        <f t="shared" si="1"/>
        <v>0</v>
      </c>
      <c r="J4" s="5">
        <f t="shared" si="2"/>
        <v>0</v>
      </c>
      <c r="K4" s="5">
        <f t="shared" si="4"/>
        <v>0</v>
      </c>
      <c r="L4" s="5">
        <f t="shared" si="3"/>
        <v>0</v>
      </c>
      <c r="O4" s="13" t="s">
        <v>18</v>
      </c>
      <c r="P4" s="9">
        <f>SUM($T7:$T40)</f>
        <v>0</v>
      </c>
      <c r="Q4" s="8" t="s">
        <v>12</v>
      </c>
      <c r="R4" s="13" t="s">
        <v>19</v>
      </c>
      <c r="S4" s="14"/>
      <c r="T4" s="9">
        <f>SUM($U7:$U40)</f>
        <v>0</v>
      </c>
      <c r="U4" s="8" t="s">
        <v>12</v>
      </c>
      <c r="V4" s="8"/>
    </row>
    <row r="5" spans="1:22">
      <c r="B5" s="4"/>
      <c r="C5" s="4"/>
      <c r="H5" s="5">
        <f t="shared" si="0"/>
        <v>0</v>
      </c>
      <c r="I5" s="5">
        <f t="shared" si="1"/>
        <v>0</v>
      </c>
      <c r="J5" s="5">
        <f t="shared" si="2"/>
        <v>0</v>
      </c>
      <c r="K5" s="5">
        <f t="shared" si="4"/>
        <v>0</v>
      </c>
      <c r="L5" s="5">
        <f t="shared" si="3"/>
        <v>0</v>
      </c>
      <c r="O5" s="13" t="s">
        <v>10</v>
      </c>
      <c r="P5" s="8">
        <f>COUNTIF(V7:V40, "=有給")+COUNTIF(V7:V40, "=AM有給")*0.5 + COUNTIF(V7:V40, "PM有給")*0.5</f>
        <v>0</v>
      </c>
      <c r="Q5" s="8" t="s">
        <v>13</v>
      </c>
      <c r="R5" s="8"/>
      <c r="S5" s="8"/>
      <c r="T5" s="8"/>
      <c r="U5" s="8"/>
      <c r="V5" s="8"/>
    </row>
    <row r="6" spans="1:22">
      <c r="B6" s="4"/>
      <c r="C6" s="4"/>
      <c r="E6" s="4"/>
      <c r="F6" s="4"/>
      <c r="H6" s="5">
        <f t="shared" si="0"/>
        <v>0</v>
      </c>
      <c r="I6" s="5">
        <f t="shared" si="1"/>
        <v>0</v>
      </c>
      <c r="J6" s="5">
        <f t="shared" si="2"/>
        <v>0</v>
      </c>
      <c r="K6" s="5">
        <f t="shared" si="4"/>
        <v>0</v>
      </c>
      <c r="L6" s="5">
        <f t="shared" si="3"/>
        <v>0</v>
      </c>
      <c r="N6" t="s">
        <v>22</v>
      </c>
      <c r="O6" s="8"/>
      <c r="P6" s="8" t="s">
        <v>20</v>
      </c>
      <c r="Q6" s="8" t="s">
        <v>21</v>
      </c>
      <c r="R6" s="8" t="s">
        <v>20</v>
      </c>
      <c r="S6" s="8" t="s">
        <v>21</v>
      </c>
      <c r="T6" s="8" t="s">
        <v>7</v>
      </c>
      <c r="U6" s="8" t="s">
        <v>16</v>
      </c>
      <c r="V6" s="8" t="s">
        <v>17</v>
      </c>
    </row>
    <row r="7" spans="1:22">
      <c r="H7" s="5">
        <f t="shared" si="0"/>
        <v>0</v>
      </c>
      <c r="I7" s="5">
        <f t="shared" si="1"/>
        <v>0</v>
      </c>
      <c r="J7" s="5">
        <f t="shared" si="2"/>
        <v>0</v>
      </c>
      <c r="K7" s="5">
        <f t="shared" si="4"/>
        <v>0</v>
      </c>
      <c r="L7" s="5">
        <f t="shared" si="3"/>
        <v>0</v>
      </c>
      <c r="N7">
        <f t="shared" ref="N7:N37" si="5">A2</f>
        <v>0</v>
      </c>
      <c r="O7" s="10">
        <f t="shared" ref="O7:O35" si="6">DATE($O$1, $Q$1-1, 16 + ROW()-7)</f>
        <v>36510</v>
      </c>
      <c r="P7" s="11">
        <f t="shared" ref="P7:P37" si="7">B2</f>
        <v>0</v>
      </c>
      <c r="Q7" s="11">
        <f t="shared" ref="Q7:Q37" si="8">C2</f>
        <v>0</v>
      </c>
      <c r="R7" s="11">
        <f t="shared" ref="R7:R37" si="9">D2</f>
        <v>0</v>
      </c>
      <c r="S7" s="11">
        <f t="shared" ref="S7:S37" si="10">E2</f>
        <v>0</v>
      </c>
      <c r="T7" s="12" t="str">
        <f>IF(K2=0,"-",K2)</f>
        <v>-</v>
      </c>
      <c r="U7" s="12" t="str">
        <f>IF(L2=0,"-",L2)</f>
        <v>-</v>
      </c>
      <c r="V7" t="str">
        <f>IF(G2="", "", G2)</f>
        <v/>
      </c>
    </row>
    <row r="8" spans="1:22">
      <c r="H8" s="5">
        <f t="shared" si="0"/>
        <v>0</v>
      </c>
      <c r="I8" s="5">
        <f t="shared" si="1"/>
        <v>0</v>
      </c>
      <c r="J8" s="5">
        <f t="shared" si="2"/>
        <v>0</v>
      </c>
      <c r="K8" s="5">
        <f t="shared" si="4"/>
        <v>0</v>
      </c>
      <c r="L8" s="5">
        <f t="shared" si="3"/>
        <v>0</v>
      </c>
      <c r="N8">
        <f t="shared" si="5"/>
        <v>0</v>
      </c>
      <c r="O8" s="10">
        <f t="shared" si="6"/>
        <v>36511</v>
      </c>
      <c r="P8" s="11">
        <f t="shared" si="7"/>
        <v>0</v>
      </c>
      <c r="Q8" s="11">
        <f t="shared" si="8"/>
        <v>0</v>
      </c>
      <c r="R8" s="11">
        <f t="shared" si="9"/>
        <v>0</v>
      </c>
      <c r="S8" s="11">
        <f t="shared" si="10"/>
        <v>0</v>
      </c>
      <c r="T8" s="12" t="str">
        <f t="shared" ref="T8:U8" si="11">IF(K3=0,"-",K3)</f>
        <v>-</v>
      </c>
      <c r="U8" s="12" t="str">
        <f t="shared" si="11"/>
        <v>-</v>
      </c>
      <c r="V8" t="str">
        <f t="shared" ref="V8:V37" si="12">IF(G3="", "", G3)</f>
        <v/>
      </c>
    </row>
    <row r="9" spans="1:22">
      <c r="B9" s="4"/>
      <c r="C9" s="4"/>
      <c r="D9" s="4"/>
      <c r="E9" s="4"/>
      <c r="F9" s="4"/>
      <c r="H9" s="5">
        <f t="shared" si="0"/>
        <v>0</v>
      </c>
      <c r="I9" s="5">
        <f t="shared" si="1"/>
        <v>0</v>
      </c>
      <c r="J9" s="5">
        <f t="shared" si="2"/>
        <v>0</v>
      </c>
      <c r="K9" s="5">
        <f t="shared" si="4"/>
        <v>0</v>
      </c>
      <c r="L9" s="5">
        <f t="shared" si="3"/>
        <v>0</v>
      </c>
      <c r="N9">
        <f t="shared" si="5"/>
        <v>0</v>
      </c>
      <c r="O9" s="10">
        <f t="shared" si="6"/>
        <v>36512</v>
      </c>
      <c r="P9" s="11">
        <f t="shared" si="7"/>
        <v>0</v>
      </c>
      <c r="Q9" s="11">
        <f t="shared" si="8"/>
        <v>0</v>
      </c>
      <c r="R9" s="11">
        <f t="shared" si="9"/>
        <v>0</v>
      </c>
      <c r="S9" s="11">
        <f t="shared" si="10"/>
        <v>0</v>
      </c>
      <c r="T9" s="12" t="str">
        <f t="shared" ref="T9:U9" si="13">IF(K4=0,"-",K4)</f>
        <v>-</v>
      </c>
      <c r="U9" s="12" t="str">
        <f t="shared" si="13"/>
        <v>-</v>
      </c>
      <c r="V9" t="str">
        <f t="shared" si="12"/>
        <v/>
      </c>
    </row>
    <row r="10" spans="1:22">
      <c r="B10" s="4"/>
      <c r="C10" s="4"/>
      <c r="H10" s="5">
        <f t="shared" si="0"/>
        <v>0</v>
      </c>
      <c r="I10" s="5">
        <f t="shared" si="1"/>
        <v>0</v>
      </c>
      <c r="J10" s="5">
        <f t="shared" si="2"/>
        <v>0</v>
      </c>
      <c r="K10" s="5">
        <f t="shared" si="4"/>
        <v>0</v>
      </c>
      <c r="L10" s="5">
        <f t="shared" si="3"/>
        <v>0</v>
      </c>
      <c r="N10">
        <f t="shared" si="5"/>
        <v>0</v>
      </c>
      <c r="O10" s="10">
        <f t="shared" si="6"/>
        <v>36513</v>
      </c>
      <c r="P10" s="11">
        <f t="shared" si="7"/>
        <v>0</v>
      </c>
      <c r="Q10" s="11">
        <f t="shared" si="8"/>
        <v>0</v>
      </c>
      <c r="R10" s="11">
        <f t="shared" si="9"/>
        <v>0</v>
      </c>
      <c r="S10" s="11">
        <f t="shared" si="10"/>
        <v>0</v>
      </c>
      <c r="T10" s="12" t="str">
        <f t="shared" ref="T10:U10" si="14">IF(K5=0,"-",K5)</f>
        <v>-</v>
      </c>
      <c r="U10" s="12" t="str">
        <f t="shared" si="14"/>
        <v>-</v>
      </c>
      <c r="V10" t="str">
        <f t="shared" si="12"/>
        <v/>
      </c>
    </row>
    <row r="11" spans="1:22">
      <c r="B11" s="4"/>
      <c r="C11" s="4"/>
      <c r="H11" s="5">
        <f t="shared" si="0"/>
        <v>0</v>
      </c>
      <c r="I11" s="5">
        <f t="shared" si="1"/>
        <v>0</v>
      </c>
      <c r="J11" s="5">
        <f t="shared" si="2"/>
        <v>0</v>
      </c>
      <c r="K11" s="5">
        <f t="shared" si="4"/>
        <v>0</v>
      </c>
      <c r="L11" s="5">
        <f t="shared" si="3"/>
        <v>0</v>
      </c>
      <c r="N11">
        <f t="shared" si="5"/>
        <v>0</v>
      </c>
      <c r="O11" s="10">
        <f t="shared" si="6"/>
        <v>36514</v>
      </c>
      <c r="P11" s="11">
        <f t="shared" si="7"/>
        <v>0</v>
      </c>
      <c r="Q11" s="11">
        <f t="shared" si="8"/>
        <v>0</v>
      </c>
      <c r="R11" s="11">
        <f t="shared" si="9"/>
        <v>0</v>
      </c>
      <c r="S11" s="11">
        <f t="shared" si="10"/>
        <v>0</v>
      </c>
      <c r="T11" s="12" t="str">
        <f t="shared" ref="T11:U11" si="15">IF(K6=0,"-",K6)</f>
        <v>-</v>
      </c>
      <c r="U11" s="12" t="str">
        <f t="shared" si="15"/>
        <v>-</v>
      </c>
      <c r="V11" t="str">
        <f t="shared" si="12"/>
        <v/>
      </c>
    </row>
    <row r="12" spans="1:22">
      <c r="B12" s="4"/>
      <c r="C12" s="4"/>
      <c r="H12" s="5">
        <f t="shared" si="0"/>
        <v>0</v>
      </c>
      <c r="I12" s="5">
        <f t="shared" si="1"/>
        <v>0</v>
      </c>
      <c r="J12" s="5">
        <f t="shared" si="2"/>
        <v>0</v>
      </c>
      <c r="K12" s="5">
        <f t="shared" si="4"/>
        <v>0</v>
      </c>
      <c r="L12" s="5">
        <f t="shared" si="3"/>
        <v>0</v>
      </c>
      <c r="N12">
        <f t="shared" si="5"/>
        <v>0</v>
      </c>
      <c r="O12" s="10">
        <f t="shared" si="6"/>
        <v>36515</v>
      </c>
      <c r="P12" s="11">
        <f t="shared" si="7"/>
        <v>0</v>
      </c>
      <c r="Q12" s="11">
        <f t="shared" si="8"/>
        <v>0</v>
      </c>
      <c r="R12" s="11">
        <f t="shared" si="9"/>
        <v>0</v>
      </c>
      <c r="S12" s="11">
        <f t="shared" si="10"/>
        <v>0</v>
      </c>
      <c r="T12" s="12" t="str">
        <f t="shared" ref="T12:U12" si="16">IF(K7=0,"-",K7)</f>
        <v>-</v>
      </c>
      <c r="U12" s="12" t="str">
        <f t="shared" si="16"/>
        <v>-</v>
      </c>
      <c r="V12" t="str">
        <f t="shared" si="12"/>
        <v/>
      </c>
    </row>
    <row r="13" spans="1:22">
      <c r="B13" s="4"/>
      <c r="C13" s="4"/>
      <c r="D13" s="4"/>
      <c r="E13" s="4"/>
      <c r="F13" s="4"/>
      <c r="H13" s="5">
        <f t="shared" si="0"/>
        <v>0</v>
      </c>
      <c r="I13" s="5">
        <f t="shared" si="1"/>
        <v>0</v>
      </c>
      <c r="J13" s="5">
        <f t="shared" si="2"/>
        <v>0</v>
      </c>
      <c r="K13" s="5">
        <f t="shared" si="4"/>
        <v>0</v>
      </c>
      <c r="L13" s="5">
        <f t="shared" si="3"/>
        <v>0</v>
      </c>
      <c r="N13">
        <f t="shared" si="5"/>
        <v>0</v>
      </c>
      <c r="O13" s="10">
        <f t="shared" si="6"/>
        <v>36516</v>
      </c>
      <c r="P13" s="11">
        <f t="shared" si="7"/>
        <v>0</v>
      </c>
      <c r="Q13" s="11">
        <f t="shared" si="8"/>
        <v>0</v>
      </c>
      <c r="R13" s="11">
        <f t="shared" si="9"/>
        <v>0</v>
      </c>
      <c r="S13" s="11">
        <f t="shared" si="10"/>
        <v>0</v>
      </c>
      <c r="T13" s="12" t="str">
        <f t="shared" ref="T13:U13" si="17">IF(K8=0,"-",K8)</f>
        <v>-</v>
      </c>
      <c r="U13" s="12" t="str">
        <f t="shared" si="17"/>
        <v>-</v>
      </c>
      <c r="V13" t="str">
        <f t="shared" si="12"/>
        <v/>
      </c>
    </row>
    <row r="14" spans="1:22">
      <c r="B14" s="4"/>
      <c r="C14" s="4"/>
      <c r="H14" s="5">
        <f t="shared" si="0"/>
        <v>0</v>
      </c>
      <c r="I14" s="5">
        <f t="shared" si="1"/>
        <v>0</v>
      </c>
      <c r="J14" s="5">
        <f t="shared" si="2"/>
        <v>0</v>
      </c>
      <c r="K14" s="5">
        <f t="shared" si="4"/>
        <v>0</v>
      </c>
      <c r="L14" s="5">
        <f t="shared" si="3"/>
        <v>0</v>
      </c>
      <c r="N14">
        <f t="shared" si="5"/>
        <v>0</v>
      </c>
      <c r="O14" s="10">
        <f t="shared" si="6"/>
        <v>36517</v>
      </c>
      <c r="P14" s="11">
        <f t="shared" si="7"/>
        <v>0</v>
      </c>
      <c r="Q14" s="11">
        <f t="shared" si="8"/>
        <v>0</v>
      </c>
      <c r="R14" s="11">
        <f t="shared" si="9"/>
        <v>0</v>
      </c>
      <c r="S14" s="11">
        <f t="shared" si="10"/>
        <v>0</v>
      </c>
      <c r="T14" s="12" t="str">
        <f t="shared" ref="T14:U14" si="18">IF(K9=0,"-",K9)</f>
        <v>-</v>
      </c>
      <c r="U14" s="12" t="str">
        <f t="shared" si="18"/>
        <v>-</v>
      </c>
      <c r="V14" t="str">
        <f t="shared" si="12"/>
        <v/>
      </c>
    </row>
    <row r="15" spans="1:22">
      <c r="H15" s="5">
        <f t="shared" si="0"/>
        <v>0</v>
      </c>
      <c r="I15" s="5">
        <f t="shared" si="1"/>
        <v>0</v>
      </c>
      <c r="J15" s="5">
        <f t="shared" si="2"/>
        <v>0</v>
      </c>
      <c r="K15" s="5">
        <f t="shared" si="4"/>
        <v>0</v>
      </c>
      <c r="L15" s="5">
        <f t="shared" si="3"/>
        <v>0</v>
      </c>
      <c r="N15">
        <f t="shared" si="5"/>
        <v>0</v>
      </c>
      <c r="O15" s="10">
        <f t="shared" si="6"/>
        <v>36518</v>
      </c>
      <c r="P15" s="11">
        <f t="shared" si="7"/>
        <v>0</v>
      </c>
      <c r="Q15" s="11">
        <f t="shared" si="8"/>
        <v>0</v>
      </c>
      <c r="R15" s="11">
        <f t="shared" si="9"/>
        <v>0</v>
      </c>
      <c r="S15" s="11">
        <f t="shared" si="10"/>
        <v>0</v>
      </c>
      <c r="T15" s="12" t="str">
        <f t="shared" ref="T15:U15" si="19">IF(K10=0,"-",K10)</f>
        <v>-</v>
      </c>
      <c r="U15" s="12" t="str">
        <f t="shared" si="19"/>
        <v>-</v>
      </c>
      <c r="V15" t="str">
        <f t="shared" si="12"/>
        <v/>
      </c>
    </row>
    <row r="16" spans="1:22">
      <c r="H16" s="5">
        <f t="shared" si="0"/>
        <v>0</v>
      </c>
      <c r="I16" s="5">
        <f t="shared" si="1"/>
        <v>0</v>
      </c>
      <c r="J16" s="5">
        <f t="shared" si="2"/>
        <v>0</v>
      </c>
      <c r="K16" s="5">
        <f t="shared" si="4"/>
        <v>0</v>
      </c>
      <c r="L16" s="5">
        <f t="shared" si="3"/>
        <v>0</v>
      </c>
      <c r="N16">
        <f t="shared" si="5"/>
        <v>0</v>
      </c>
      <c r="O16" s="10">
        <f t="shared" si="6"/>
        <v>36519</v>
      </c>
      <c r="P16" s="11">
        <f t="shared" si="7"/>
        <v>0</v>
      </c>
      <c r="Q16" s="11">
        <f t="shared" si="8"/>
        <v>0</v>
      </c>
      <c r="R16" s="11">
        <f t="shared" si="9"/>
        <v>0</v>
      </c>
      <c r="S16" s="11">
        <f t="shared" si="10"/>
        <v>0</v>
      </c>
      <c r="T16" s="12" t="str">
        <f t="shared" ref="T16:U16" si="20">IF(K11=0,"-",K11)</f>
        <v>-</v>
      </c>
      <c r="U16" s="12" t="str">
        <f t="shared" si="20"/>
        <v>-</v>
      </c>
      <c r="V16" t="str">
        <f t="shared" si="12"/>
        <v/>
      </c>
    </row>
    <row r="17" spans="2:22">
      <c r="H17" s="5">
        <f t="shared" si="0"/>
        <v>0</v>
      </c>
      <c r="I17" s="5">
        <f t="shared" si="1"/>
        <v>0</v>
      </c>
      <c r="J17" s="5">
        <f t="shared" si="2"/>
        <v>0</v>
      </c>
      <c r="K17" s="5">
        <f t="shared" si="4"/>
        <v>0</v>
      </c>
      <c r="L17" s="5">
        <f t="shared" si="3"/>
        <v>0</v>
      </c>
      <c r="N17">
        <f t="shared" si="5"/>
        <v>0</v>
      </c>
      <c r="O17" s="10">
        <f t="shared" si="6"/>
        <v>36520</v>
      </c>
      <c r="P17" s="11">
        <f t="shared" si="7"/>
        <v>0</v>
      </c>
      <c r="Q17" s="11">
        <f t="shared" si="8"/>
        <v>0</v>
      </c>
      <c r="R17" s="11">
        <f t="shared" si="9"/>
        <v>0</v>
      </c>
      <c r="S17" s="11">
        <f t="shared" si="10"/>
        <v>0</v>
      </c>
      <c r="T17" s="12" t="str">
        <f t="shared" ref="T17:U17" si="21">IF(K12=0,"-",K12)</f>
        <v>-</v>
      </c>
      <c r="U17" s="12" t="str">
        <f t="shared" si="21"/>
        <v>-</v>
      </c>
      <c r="V17" t="str">
        <f t="shared" si="12"/>
        <v/>
      </c>
    </row>
    <row r="18" spans="2:22">
      <c r="H18" s="5">
        <f t="shared" si="0"/>
        <v>0</v>
      </c>
      <c r="I18" s="5">
        <f t="shared" si="1"/>
        <v>0</v>
      </c>
      <c r="J18" s="5">
        <f t="shared" si="2"/>
        <v>0</v>
      </c>
      <c r="K18" s="5">
        <f t="shared" si="4"/>
        <v>0</v>
      </c>
      <c r="L18" s="5">
        <f t="shared" si="3"/>
        <v>0</v>
      </c>
      <c r="N18">
        <f t="shared" si="5"/>
        <v>0</v>
      </c>
      <c r="O18" s="10">
        <f t="shared" si="6"/>
        <v>36521</v>
      </c>
      <c r="P18" s="11">
        <f t="shared" si="7"/>
        <v>0</v>
      </c>
      <c r="Q18" s="11">
        <f t="shared" si="8"/>
        <v>0</v>
      </c>
      <c r="R18" s="11">
        <f t="shared" si="9"/>
        <v>0</v>
      </c>
      <c r="S18" s="11">
        <f t="shared" si="10"/>
        <v>0</v>
      </c>
      <c r="T18" s="12" t="str">
        <f t="shared" ref="T18:U18" si="22">IF(K13=0,"-",K13)</f>
        <v>-</v>
      </c>
      <c r="U18" s="12" t="str">
        <f t="shared" si="22"/>
        <v>-</v>
      </c>
      <c r="V18" t="str">
        <f t="shared" si="12"/>
        <v/>
      </c>
    </row>
    <row r="19" spans="2:22">
      <c r="H19" s="5">
        <f t="shared" si="0"/>
        <v>0</v>
      </c>
      <c r="I19" s="5">
        <f t="shared" si="1"/>
        <v>0</v>
      </c>
      <c r="J19" s="5">
        <f t="shared" si="2"/>
        <v>0</v>
      </c>
      <c r="K19" s="5">
        <f t="shared" si="4"/>
        <v>0</v>
      </c>
      <c r="L19" s="5">
        <f t="shared" si="3"/>
        <v>0</v>
      </c>
      <c r="N19">
        <f t="shared" si="5"/>
        <v>0</v>
      </c>
      <c r="O19" s="10">
        <f t="shared" si="6"/>
        <v>36522</v>
      </c>
      <c r="P19" s="11">
        <f t="shared" si="7"/>
        <v>0</v>
      </c>
      <c r="Q19" s="11">
        <f t="shared" si="8"/>
        <v>0</v>
      </c>
      <c r="R19" s="11">
        <f t="shared" si="9"/>
        <v>0</v>
      </c>
      <c r="S19" s="11">
        <f t="shared" si="10"/>
        <v>0</v>
      </c>
      <c r="T19" s="12" t="str">
        <f t="shared" ref="T19:U19" si="23">IF(K14=0,"-",K14)</f>
        <v>-</v>
      </c>
      <c r="U19" s="12" t="str">
        <f t="shared" si="23"/>
        <v>-</v>
      </c>
      <c r="V19" t="str">
        <f t="shared" si="12"/>
        <v/>
      </c>
    </row>
    <row r="20" spans="2:22">
      <c r="H20" s="5">
        <f t="shared" si="0"/>
        <v>0</v>
      </c>
      <c r="I20" s="5">
        <f t="shared" si="1"/>
        <v>0</v>
      </c>
      <c r="J20" s="5">
        <f t="shared" si="2"/>
        <v>0</v>
      </c>
      <c r="K20" s="5">
        <f t="shared" si="4"/>
        <v>0</v>
      </c>
      <c r="L20" s="5">
        <f t="shared" si="3"/>
        <v>0</v>
      </c>
      <c r="N20">
        <f t="shared" si="5"/>
        <v>0</v>
      </c>
      <c r="O20" s="10">
        <f t="shared" si="6"/>
        <v>36523</v>
      </c>
      <c r="P20" s="11">
        <f t="shared" si="7"/>
        <v>0</v>
      </c>
      <c r="Q20" s="11">
        <f t="shared" si="8"/>
        <v>0</v>
      </c>
      <c r="R20" s="11">
        <f t="shared" si="9"/>
        <v>0</v>
      </c>
      <c r="S20" s="11">
        <f t="shared" si="10"/>
        <v>0</v>
      </c>
      <c r="T20" s="12" t="str">
        <f t="shared" ref="T20:U20" si="24">IF(K15=0,"-",K15)</f>
        <v>-</v>
      </c>
      <c r="U20" s="12" t="str">
        <f t="shared" si="24"/>
        <v>-</v>
      </c>
      <c r="V20" t="str">
        <f t="shared" si="12"/>
        <v/>
      </c>
    </row>
    <row r="21" spans="2:22">
      <c r="H21" s="5">
        <f t="shared" si="0"/>
        <v>0</v>
      </c>
      <c r="I21" s="5">
        <f t="shared" si="1"/>
        <v>0</v>
      </c>
      <c r="J21" s="5">
        <f t="shared" si="2"/>
        <v>0</v>
      </c>
      <c r="K21" s="5">
        <f t="shared" si="4"/>
        <v>0</v>
      </c>
      <c r="L21" s="5">
        <f t="shared" si="3"/>
        <v>0</v>
      </c>
      <c r="N21">
        <f t="shared" si="5"/>
        <v>0</v>
      </c>
      <c r="O21" s="10">
        <f t="shared" si="6"/>
        <v>36524</v>
      </c>
      <c r="P21" s="11">
        <f t="shared" si="7"/>
        <v>0</v>
      </c>
      <c r="Q21" s="11">
        <f t="shared" si="8"/>
        <v>0</v>
      </c>
      <c r="R21" s="11">
        <f t="shared" si="9"/>
        <v>0</v>
      </c>
      <c r="S21" s="11">
        <f t="shared" si="10"/>
        <v>0</v>
      </c>
      <c r="T21" s="12" t="str">
        <f t="shared" ref="T21:U21" si="25">IF(K16=0,"-",K16)</f>
        <v>-</v>
      </c>
      <c r="U21" s="12" t="str">
        <f t="shared" si="25"/>
        <v>-</v>
      </c>
      <c r="V21" t="str">
        <f t="shared" si="12"/>
        <v/>
      </c>
    </row>
    <row r="22" spans="2:22">
      <c r="H22" s="5">
        <f t="shared" si="0"/>
        <v>0</v>
      </c>
      <c r="I22" s="5">
        <f t="shared" si="1"/>
        <v>0</v>
      </c>
      <c r="J22" s="5">
        <f t="shared" si="2"/>
        <v>0</v>
      </c>
      <c r="K22" s="5">
        <f t="shared" si="4"/>
        <v>0</v>
      </c>
      <c r="L22" s="5">
        <f t="shared" si="3"/>
        <v>0</v>
      </c>
      <c r="N22">
        <f t="shared" si="5"/>
        <v>0</v>
      </c>
      <c r="O22" s="10">
        <f t="shared" si="6"/>
        <v>36525</v>
      </c>
      <c r="P22" s="11">
        <f t="shared" si="7"/>
        <v>0</v>
      </c>
      <c r="Q22" s="11">
        <f t="shared" si="8"/>
        <v>0</v>
      </c>
      <c r="R22" s="11">
        <f t="shared" si="9"/>
        <v>0</v>
      </c>
      <c r="S22" s="11">
        <f t="shared" si="10"/>
        <v>0</v>
      </c>
      <c r="T22" s="12" t="str">
        <f t="shared" ref="T22:U22" si="26">IF(K17=0,"-",K17)</f>
        <v>-</v>
      </c>
      <c r="U22" s="12" t="str">
        <f t="shared" si="26"/>
        <v>-</v>
      </c>
      <c r="V22" t="str">
        <f t="shared" si="12"/>
        <v/>
      </c>
    </row>
    <row r="23" spans="2:22">
      <c r="B23" s="4"/>
      <c r="C23" s="4"/>
      <c r="E23" s="4"/>
      <c r="F23" s="4"/>
      <c r="H23" s="5">
        <f t="shared" si="0"/>
        <v>0</v>
      </c>
      <c r="I23" s="5">
        <f t="shared" si="1"/>
        <v>0</v>
      </c>
      <c r="J23" s="5">
        <f t="shared" si="2"/>
        <v>0</v>
      </c>
      <c r="K23" s="5">
        <f t="shared" si="4"/>
        <v>0</v>
      </c>
      <c r="L23" s="5">
        <f t="shared" si="3"/>
        <v>0</v>
      </c>
      <c r="N23">
        <f t="shared" si="5"/>
        <v>0</v>
      </c>
      <c r="O23" s="10">
        <f t="shared" si="6"/>
        <v>36526</v>
      </c>
      <c r="P23" s="11">
        <f t="shared" si="7"/>
        <v>0</v>
      </c>
      <c r="Q23" s="11">
        <f t="shared" si="8"/>
        <v>0</v>
      </c>
      <c r="R23" s="11">
        <f t="shared" si="9"/>
        <v>0</v>
      </c>
      <c r="S23" s="11">
        <f t="shared" si="10"/>
        <v>0</v>
      </c>
      <c r="T23" s="12" t="str">
        <f t="shared" ref="T23:U23" si="27">IF(K18=0,"-",K18)</f>
        <v>-</v>
      </c>
      <c r="U23" s="12" t="str">
        <f t="shared" si="27"/>
        <v>-</v>
      </c>
      <c r="V23" t="str">
        <f t="shared" si="12"/>
        <v/>
      </c>
    </row>
    <row r="24" spans="2:22">
      <c r="B24" s="4"/>
      <c r="C24" s="4"/>
      <c r="H24" s="5">
        <f t="shared" si="0"/>
        <v>0</v>
      </c>
      <c r="I24" s="5">
        <f t="shared" si="1"/>
        <v>0</v>
      </c>
      <c r="J24" s="5">
        <f t="shared" si="2"/>
        <v>0</v>
      </c>
      <c r="K24" s="5">
        <f t="shared" si="4"/>
        <v>0</v>
      </c>
      <c r="L24" s="5">
        <f t="shared" si="3"/>
        <v>0</v>
      </c>
      <c r="N24">
        <f t="shared" si="5"/>
        <v>0</v>
      </c>
      <c r="O24" s="10">
        <f t="shared" si="6"/>
        <v>36527</v>
      </c>
      <c r="P24" s="8">
        <f t="shared" si="7"/>
        <v>0</v>
      </c>
      <c r="Q24" s="11">
        <f t="shared" si="8"/>
        <v>0</v>
      </c>
      <c r="R24" s="11">
        <f t="shared" si="9"/>
        <v>0</v>
      </c>
      <c r="S24" s="11">
        <f t="shared" si="10"/>
        <v>0</v>
      </c>
      <c r="T24" s="12" t="str">
        <f t="shared" ref="T24:U24" si="28">IF(K19=0,"-",K19)</f>
        <v>-</v>
      </c>
      <c r="U24" s="12" t="str">
        <f t="shared" si="28"/>
        <v>-</v>
      </c>
      <c r="V24" t="str">
        <f t="shared" si="12"/>
        <v/>
      </c>
    </row>
    <row r="25" spans="2:22">
      <c r="B25" s="4"/>
      <c r="C25" s="4"/>
      <c r="H25" s="5">
        <f t="shared" si="0"/>
        <v>0</v>
      </c>
      <c r="I25" s="5">
        <f t="shared" si="1"/>
        <v>0</v>
      </c>
      <c r="J25" s="5">
        <f t="shared" si="2"/>
        <v>0</v>
      </c>
      <c r="K25" s="5">
        <f t="shared" si="4"/>
        <v>0</v>
      </c>
      <c r="L25" s="5">
        <f t="shared" si="3"/>
        <v>0</v>
      </c>
      <c r="N25">
        <f t="shared" si="5"/>
        <v>0</v>
      </c>
      <c r="O25" s="10">
        <f t="shared" si="6"/>
        <v>36528</v>
      </c>
      <c r="P25" s="11">
        <f t="shared" si="7"/>
        <v>0</v>
      </c>
      <c r="Q25" s="11">
        <f t="shared" si="8"/>
        <v>0</v>
      </c>
      <c r="R25" s="11">
        <f t="shared" si="9"/>
        <v>0</v>
      </c>
      <c r="S25" s="11">
        <f t="shared" si="10"/>
        <v>0</v>
      </c>
      <c r="T25" s="12" t="str">
        <f t="shared" ref="T25:U25" si="29">IF(K20=0,"-",K20)</f>
        <v>-</v>
      </c>
      <c r="U25" s="12" t="str">
        <f t="shared" si="29"/>
        <v>-</v>
      </c>
      <c r="V25" t="str">
        <f t="shared" si="12"/>
        <v/>
      </c>
    </row>
    <row r="26" spans="2:22">
      <c r="B26" s="4"/>
      <c r="C26" s="4"/>
      <c r="H26" s="5">
        <f t="shared" si="0"/>
        <v>0</v>
      </c>
      <c r="I26" s="5">
        <f t="shared" si="1"/>
        <v>0</v>
      </c>
      <c r="J26" s="5">
        <f t="shared" si="2"/>
        <v>0</v>
      </c>
      <c r="K26" s="5">
        <f t="shared" si="4"/>
        <v>0</v>
      </c>
      <c r="L26" s="5">
        <f t="shared" si="3"/>
        <v>0</v>
      </c>
      <c r="N26">
        <f t="shared" si="5"/>
        <v>0</v>
      </c>
      <c r="O26" s="10">
        <f t="shared" si="6"/>
        <v>36529</v>
      </c>
      <c r="P26" s="11">
        <f t="shared" si="7"/>
        <v>0</v>
      </c>
      <c r="Q26" s="11">
        <f t="shared" si="8"/>
        <v>0</v>
      </c>
      <c r="R26" s="11">
        <f t="shared" si="9"/>
        <v>0</v>
      </c>
      <c r="S26" s="11">
        <f t="shared" si="10"/>
        <v>0</v>
      </c>
      <c r="T26" s="12" t="str">
        <f t="shared" ref="T26:U26" si="30">IF(K21=0,"-",K21)</f>
        <v>-</v>
      </c>
      <c r="U26" s="12" t="str">
        <f t="shared" si="30"/>
        <v>-</v>
      </c>
      <c r="V26" t="str">
        <f t="shared" si="12"/>
        <v/>
      </c>
    </row>
    <row r="27" spans="2:22">
      <c r="B27" s="4"/>
      <c r="C27" s="4"/>
      <c r="H27" s="5">
        <f t="shared" si="0"/>
        <v>0</v>
      </c>
      <c r="I27" s="5">
        <f t="shared" si="1"/>
        <v>0</v>
      </c>
      <c r="J27" s="5">
        <f t="shared" si="2"/>
        <v>0</v>
      </c>
      <c r="K27" s="5">
        <f t="shared" si="4"/>
        <v>0</v>
      </c>
      <c r="L27" s="5">
        <f t="shared" si="3"/>
        <v>0</v>
      </c>
      <c r="N27">
        <f t="shared" si="5"/>
        <v>0</v>
      </c>
      <c r="O27" s="10">
        <f t="shared" si="6"/>
        <v>36530</v>
      </c>
      <c r="P27" s="11">
        <f t="shared" si="7"/>
        <v>0</v>
      </c>
      <c r="Q27" s="11">
        <f t="shared" si="8"/>
        <v>0</v>
      </c>
      <c r="R27" s="11">
        <f t="shared" si="9"/>
        <v>0</v>
      </c>
      <c r="S27" s="11">
        <f t="shared" si="10"/>
        <v>0</v>
      </c>
      <c r="T27" s="12" t="str">
        <f t="shared" ref="T27:U27" si="31">IF(K22=0,"-",K22)</f>
        <v>-</v>
      </c>
      <c r="U27" s="12" t="str">
        <f t="shared" si="31"/>
        <v>-</v>
      </c>
      <c r="V27" t="str">
        <f t="shared" si="12"/>
        <v/>
      </c>
    </row>
    <row r="28" spans="2:22">
      <c r="H28" s="5">
        <f t="shared" si="0"/>
        <v>0</v>
      </c>
      <c r="I28" s="5">
        <f t="shared" si="1"/>
        <v>0</v>
      </c>
      <c r="J28" s="5">
        <f t="shared" si="2"/>
        <v>0</v>
      </c>
      <c r="K28" s="5">
        <f t="shared" si="4"/>
        <v>0</v>
      </c>
      <c r="L28" s="5">
        <f t="shared" si="3"/>
        <v>0</v>
      </c>
      <c r="N28">
        <f t="shared" si="5"/>
        <v>0</v>
      </c>
      <c r="O28" s="10">
        <f t="shared" si="6"/>
        <v>36531</v>
      </c>
      <c r="P28" s="11">
        <f t="shared" si="7"/>
        <v>0</v>
      </c>
      <c r="Q28" s="11">
        <f t="shared" si="8"/>
        <v>0</v>
      </c>
      <c r="R28" s="11">
        <f t="shared" si="9"/>
        <v>0</v>
      </c>
      <c r="S28" s="11">
        <f t="shared" si="10"/>
        <v>0</v>
      </c>
      <c r="T28" s="12" t="str">
        <f t="shared" ref="T28:U28" si="32">IF(K23=0,"-",K23)</f>
        <v>-</v>
      </c>
      <c r="U28" s="12" t="str">
        <f t="shared" si="32"/>
        <v>-</v>
      </c>
      <c r="V28" t="str">
        <f t="shared" si="12"/>
        <v/>
      </c>
    </row>
    <row r="29" spans="2:22">
      <c r="B29" s="4"/>
      <c r="C29" s="4"/>
      <c r="H29" s="5">
        <f t="shared" si="0"/>
        <v>0</v>
      </c>
      <c r="I29" s="5">
        <f t="shared" si="1"/>
        <v>0</v>
      </c>
      <c r="J29" s="5">
        <f t="shared" si="2"/>
        <v>0</v>
      </c>
      <c r="K29" s="5">
        <f t="shared" si="4"/>
        <v>0</v>
      </c>
      <c r="L29" s="5">
        <f t="shared" si="3"/>
        <v>0</v>
      </c>
      <c r="N29">
        <f t="shared" si="5"/>
        <v>0</v>
      </c>
      <c r="O29" s="10">
        <f t="shared" si="6"/>
        <v>36532</v>
      </c>
      <c r="P29" s="11">
        <f t="shared" si="7"/>
        <v>0</v>
      </c>
      <c r="Q29" s="11">
        <f t="shared" si="8"/>
        <v>0</v>
      </c>
      <c r="R29" s="11">
        <f t="shared" si="9"/>
        <v>0</v>
      </c>
      <c r="S29" s="11">
        <f t="shared" si="10"/>
        <v>0</v>
      </c>
      <c r="T29" s="12" t="str">
        <f t="shared" ref="T29:U29" si="33">IF(K24=0,"-",K24)</f>
        <v>-</v>
      </c>
      <c r="U29" s="12" t="str">
        <f t="shared" si="33"/>
        <v>-</v>
      </c>
      <c r="V29" t="str">
        <f t="shared" si="12"/>
        <v/>
      </c>
    </row>
    <row r="30" spans="2:22">
      <c r="B30" s="4"/>
      <c r="C30" s="4"/>
      <c r="H30" s="5">
        <f t="shared" si="0"/>
        <v>0</v>
      </c>
      <c r="I30" s="5">
        <f t="shared" si="1"/>
        <v>0</v>
      </c>
      <c r="J30" s="5">
        <f t="shared" si="2"/>
        <v>0</v>
      </c>
      <c r="K30" s="5">
        <f t="shared" si="4"/>
        <v>0</v>
      </c>
      <c r="L30" s="5">
        <f t="shared" si="3"/>
        <v>0</v>
      </c>
      <c r="N30">
        <f t="shared" si="5"/>
        <v>0</v>
      </c>
      <c r="O30" s="10">
        <f t="shared" si="6"/>
        <v>36533</v>
      </c>
      <c r="P30" s="11">
        <f t="shared" si="7"/>
        <v>0</v>
      </c>
      <c r="Q30" s="11">
        <f t="shared" si="8"/>
        <v>0</v>
      </c>
      <c r="R30" s="11">
        <f t="shared" si="9"/>
        <v>0</v>
      </c>
      <c r="S30" s="11">
        <f t="shared" si="10"/>
        <v>0</v>
      </c>
      <c r="T30" s="12" t="str">
        <f t="shared" ref="T30:U30" si="34">IF(K25=0,"-",K25)</f>
        <v>-</v>
      </c>
      <c r="U30" s="12" t="str">
        <f t="shared" si="34"/>
        <v>-</v>
      </c>
      <c r="V30" t="str">
        <f t="shared" si="12"/>
        <v/>
      </c>
    </row>
    <row r="31" spans="2:22">
      <c r="B31" s="4"/>
      <c r="C31" s="4"/>
      <c r="H31" s="5">
        <f t="shared" si="0"/>
        <v>0</v>
      </c>
      <c r="I31" s="5">
        <f t="shared" si="1"/>
        <v>0</v>
      </c>
      <c r="J31" s="5">
        <f t="shared" si="2"/>
        <v>0</v>
      </c>
      <c r="K31" s="5">
        <f t="shared" ref="K31:K33" si="35">MIN("8:00", J31)</f>
        <v>0</v>
      </c>
      <c r="L31" s="5">
        <f t="shared" ref="L31:L33" si="36">MAX("8:00", J31) - "8:00"</f>
        <v>0</v>
      </c>
      <c r="N31">
        <f t="shared" si="5"/>
        <v>0</v>
      </c>
      <c r="O31" s="10">
        <f t="shared" si="6"/>
        <v>36534</v>
      </c>
      <c r="P31" s="11">
        <f t="shared" si="7"/>
        <v>0</v>
      </c>
      <c r="Q31" s="11">
        <f t="shared" si="8"/>
        <v>0</v>
      </c>
      <c r="R31" s="11">
        <f t="shared" si="9"/>
        <v>0</v>
      </c>
      <c r="S31" s="11">
        <f t="shared" si="10"/>
        <v>0</v>
      </c>
      <c r="T31" s="12" t="str">
        <f t="shared" ref="T31:U31" si="37">IF(K26=0,"-",K26)</f>
        <v>-</v>
      </c>
      <c r="U31" s="12" t="str">
        <f t="shared" si="37"/>
        <v>-</v>
      </c>
      <c r="V31" t="str">
        <f t="shared" si="12"/>
        <v/>
      </c>
    </row>
    <row r="32" spans="2:22">
      <c r="B32" s="4"/>
      <c r="H32" s="5">
        <f t="shared" si="0"/>
        <v>0</v>
      </c>
      <c r="I32" s="5">
        <f t="shared" si="1"/>
        <v>0</v>
      </c>
      <c r="J32" s="5">
        <f t="shared" si="2"/>
        <v>0</v>
      </c>
      <c r="K32" s="5">
        <f t="shared" si="35"/>
        <v>0</v>
      </c>
      <c r="L32" s="5">
        <f t="shared" si="36"/>
        <v>0</v>
      </c>
      <c r="N32">
        <f t="shared" si="5"/>
        <v>0</v>
      </c>
      <c r="O32" s="10">
        <f t="shared" si="6"/>
        <v>36535</v>
      </c>
      <c r="P32" s="11">
        <f t="shared" si="7"/>
        <v>0</v>
      </c>
      <c r="Q32" s="11">
        <f t="shared" si="8"/>
        <v>0</v>
      </c>
      <c r="R32" s="11">
        <f t="shared" si="9"/>
        <v>0</v>
      </c>
      <c r="S32" s="11">
        <f t="shared" si="10"/>
        <v>0</v>
      </c>
      <c r="T32" s="12" t="str">
        <f t="shared" ref="T32:U32" si="38">IF(K27=0,"-",K27)</f>
        <v>-</v>
      </c>
      <c r="U32" s="12" t="str">
        <f t="shared" si="38"/>
        <v>-</v>
      </c>
      <c r="V32" t="str">
        <f t="shared" si="12"/>
        <v/>
      </c>
    </row>
    <row r="33" spans="8:22">
      <c r="H33" s="5">
        <f t="shared" si="0"/>
        <v>0</v>
      </c>
      <c r="I33" s="5">
        <f t="shared" si="1"/>
        <v>0</v>
      </c>
      <c r="J33" s="5">
        <f t="shared" si="2"/>
        <v>0</v>
      </c>
      <c r="K33" s="5">
        <f t="shared" si="35"/>
        <v>0</v>
      </c>
      <c r="L33" s="5">
        <f t="shared" si="36"/>
        <v>0</v>
      </c>
      <c r="N33">
        <f t="shared" si="5"/>
        <v>0</v>
      </c>
      <c r="O33" s="10">
        <f t="shared" si="6"/>
        <v>36536</v>
      </c>
      <c r="P33" s="11">
        <f t="shared" si="7"/>
        <v>0</v>
      </c>
      <c r="Q33" s="11">
        <f t="shared" si="8"/>
        <v>0</v>
      </c>
      <c r="R33" s="11">
        <f t="shared" si="9"/>
        <v>0</v>
      </c>
      <c r="S33" s="11">
        <f t="shared" si="10"/>
        <v>0</v>
      </c>
      <c r="T33" s="12" t="str">
        <f t="shared" ref="T33:U33" si="39">IF(K28=0,"-",K28)</f>
        <v>-</v>
      </c>
      <c r="U33" s="12" t="str">
        <f t="shared" si="39"/>
        <v>-</v>
      </c>
      <c r="V33" t="str">
        <f t="shared" si="12"/>
        <v/>
      </c>
    </row>
    <row r="34" spans="8:22">
      <c r="H34" s="5"/>
      <c r="I34" s="5"/>
      <c r="J34" s="5"/>
      <c r="K34" s="5"/>
      <c r="L34" s="5"/>
      <c r="N34">
        <f t="shared" si="5"/>
        <v>0</v>
      </c>
      <c r="O34" s="10">
        <f t="shared" si="6"/>
        <v>36537</v>
      </c>
      <c r="P34" s="11">
        <f t="shared" si="7"/>
        <v>0</v>
      </c>
      <c r="Q34" s="11">
        <f t="shared" si="8"/>
        <v>0</v>
      </c>
      <c r="R34" s="11">
        <f t="shared" si="9"/>
        <v>0</v>
      </c>
      <c r="S34" s="11">
        <f t="shared" si="10"/>
        <v>0</v>
      </c>
      <c r="T34" s="12" t="str">
        <f t="shared" ref="T34:U34" si="40">IF(K29=0,"-",K29)</f>
        <v>-</v>
      </c>
      <c r="U34" s="12" t="str">
        <f t="shared" si="40"/>
        <v>-</v>
      </c>
      <c r="V34" t="str">
        <f t="shared" si="12"/>
        <v/>
      </c>
    </row>
    <row r="35" spans="8:22">
      <c r="H35" s="5"/>
      <c r="I35" s="5"/>
      <c r="J35" s="5"/>
      <c r="K35" s="5"/>
      <c r="L35" s="5"/>
      <c r="N35">
        <f t="shared" si="5"/>
        <v>0</v>
      </c>
      <c r="O35" s="10">
        <f t="shared" si="6"/>
        <v>36538</v>
      </c>
      <c r="P35" s="11">
        <f t="shared" si="7"/>
        <v>0</v>
      </c>
      <c r="Q35" s="11">
        <f t="shared" si="8"/>
        <v>0</v>
      </c>
      <c r="R35" s="11">
        <f t="shared" si="9"/>
        <v>0</v>
      </c>
      <c r="S35" s="11">
        <f t="shared" si="10"/>
        <v>0</v>
      </c>
      <c r="T35" s="12" t="str">
        <f t="shared" ref="T35:U35" si="41">IF(K30=0,"-",K30)</f>
        <v>-</v>
      </c>
      <c r="U35" s="12" t="str">
        <f t="shared" si="41"/>
        <v>-</v>
      </c>
      <c r="V35" t="str">
        <f t="shared" si="12"/>
        <v/>
      </c>
    </row>
    <row r="36" spans="8:22">
      <c r="K36" s="2">
        <f>SUM(K2:K35)</f>
        <v>0</v>
      </c>
      <c r="L36" s="2">
        <f>SUM(L2:L35)</f>
        <v>0</v>
      </c>
      <c r="N36">
        <f t="shared" si="5"/>
        <v>0</v>
      </c>
      <c r="O36" s="10">
        <f t="shared" ref="O36:O37" si="42">DATE($O$1, $Q$1-1, 16 + ROW()-7)</f>
        <v>36539</v>
      </c>
      <c r="P36" s="11">
        <f t="shared" si="7"/>
        <v>0</v>
      </c>
      <c r="Q36" s="11">
        <f t="shared" si="8"/>
        <v>0</v>
      </c>
      <c r="R36" s="11">
        <f t="shared" si="9"/>
        <v>0</v>
      </c>
      <c r="S36" s="11">
        <f t="shared" si="10"/>
        <v>0</v>
      </c>
      <c r="T36" s="12" t="str">
        <f t="shared" ref="T36:U36" si="43">IF(K31=0,"-",K31)</f>
        <v>-</v>
      </c>
      <c r="U36" s="12" t="str">
        <f t="shared" si="43"/>
        <v>-</v>
      </c>
      <c r="V36" t="str">
        <f t="shared" si="12"/>
        <v/>
      </c>
    </row>
    <row r="37" spans="8:22">
      <c r="K37" s="6" t="s">
        <v>11</v>
      </c>
      <c r="L37">
        <f>COUNTIF($J$2:$J$35,"&gt;0")</f>
        <v>0</v>
      </c>
      <c r="N37">
        <f t="shared" si="5"/>
        <v>0</v>
      </c>
      <c r="O37" s="10">
        <f t="shared" si="42"/>
        <v>36540</v>
      </c>
      <c r="P37" s="11">
        <f t="shared" si="7"/>
        <v>0</v>
      </c>
      <c r="Q37" s="11">
        <f t="shared" si="8"/>
        <v>0</v>
      </c>
      <c r="R37" s="11">
        <f t="shared" si="9"/>
        <v>0</v>
      </c>
      <c r="S37" s="11">
        <f t="shared" si="10"/>
        <v>0</v>
      </c>
      <c r="T37" s="12" t="str">
        <f t="shared" ref="T37:U37" si="44">IF(K32=0,"-",K32)</f>
        <v>-</v>
      </c>
      <c r="U37" s="12" t="str">
        <f t="shared" si="44"/>
        <v>-</v>
      </c>
      <c r="V37" t="str">
        <f t="shared" si="12"/>
        <v/>
      </c>
    </row>
    <row r="38" spans="8:22">
      <c r="O38" s="8"/>
      <c r="P38" s="8"/>
      <c r="Q38" s="8"/>
      <c r="R38" s="8"/>
      <c r="S38" s="8"/>
      <c r="T38" s="8"/>
      <c r="U38" s="8"/>
      <c r="V38" s="8"/>
    </row>
  </sheetData>
  <phoneticPr fontId="1"/>
  <conditionalFormatting sqref="H2:L35">
    <cfRule type="cellIs" dxfId="3" priority="2" stopIfTrue="1" operator="equal">
      <formula>0</formula>
    </cfRule>
  </conditionalFormatting>
  <conditionalFormatting sqref="T7:U37">
    <cfRule type="cellIs" dxfId="2" priority="1" stopIfTrue="1" operator="equal">
      <formula>0</formula>
    </cfRule>
  </conditionalFormatting>
  <pageMargins left="0.7" right="0.7" top="0.75" bottom="0.75" header="0.3" footer="0.3"/>
  <pageSetup paperSize="9" scale="33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7191B-51E0-9D4C-B850-93714017914B}">
  <sheetPr codeName="Sheet2">
    <pageSetUpPr fitToPage="1"/>
  </sheetPr>
  <dimension ref="A1:U38"/>
  <sheetViews>
    <sheetView workbookViewId="0">
      <selection activeCell="U7" sqref="U7:U37"/>
    </sheetView>
  </sheetViews>
  <sheetFormatPr baseColWidth="10" defaultRowHeight="18"/>
  <cols>
    <col min="1" max="1" width="17.1640625" bestFit="1" customWidth="1"/>
    <col min="2" max="5" width="6.6640625" bestFit="1" customWidth="1"/>
    <col min="6" max="6" width="7.5" bestFit="1" customWidth="1"/>
    <col min="10" max="10" width="15" bestFit="1" customWidth="1"/>
    <col min="11" max="11" width="14.33203125" bestFit="1" customWidth="1"/>
    <col min="12" max="12" width="15.83203125" bestFit="1" customWidth="1"/>
    <col min="14" max="14" width="17.1640625" bestFit="1" customWidth="1"/>
    <col min="15" max="15" width="13" bestFit="1" customWidth="1"/>
    <col min="20" max="20" width="14.33203125" bestFit="1" customWidth="1"/>
  </cols>
  <sheetData>
    <row r="1" spans="1:21" ht="3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17</v>
      </c>
      <c r="H1" s="6" t="s">
        <v>5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O1" s="1">
        <f>year</f>
        <v>2000</v>
      </c>
      <c r="P1" s="1" t="s">
        <v>25</v>
      </c>
      <c r="Q1" s="1">
        <f>month</f>
        <v>1</v>
      </c>
      <c r="R1" s="1" t="s">
        <v>14</v>
      </c>
      <c r="S1" t="s">
        <v>15</v>
      </c>
      <c r="T1" t="str" cm="1">
        <f t="array" aca="1" ref="T1" ca="1">MID(CELL("filename", A1), FIND("]", CELL("filename", A1)) + 1, LEN(CELL("filename", A1)) - FIND("]", CELL("filename", A1)))</f>
        <v>正社員</v>
      </c>
    </row>
    <row r="2" spans="1:21">
      <c r="B2" s="4"/>
      <c r="C2" s="4"/>
      <c r="D2" s="4"/>
      <c r="E2" s="4"/>
      <c r="F2" s="4"/>
      <c r="H2" s="5">
        <f t="shared" ref="H2:H32" si="0">IFERROR(CEILING(B2, "0:30"), 0)</f>
        <v>0</v>
      </c>
      <c r="I2" s="5">
        <f t="shared" ref="I2:I32" si="1">IFERROR(CEILING(D2, "0:30"), 0)</f>
        <v>0</v>
      </c>
      <c r="J2" s="5">
        <f t="shared" ref="J2:J32" si="2">IFERROR(C2-H2, 0) + IFERROR(E2 - I2, 0)</f>
        <v>0</v>
      </c>
      <c r="K2" s="5">
        <f t="shared" ref="K2:K30" si="3">MIN("8:00", J2)</f>
        <v>0</v>
      </c>
      <c r="L2" s="5">
        <f t="shared" ref="L2:L30" si="4">MAX("8:00", J2) - "8:00"</f>
        <v>0</v>
      </c>
      <c r="M2" s="5">
        <f t="shared" ref="M2:M32" si="5">MAX(IFERROR(IF(C2&gt;"19:00",C2- "19:00",E2- "19:00"), 0), 0)</f>
        <v>0</v>
      </c>
    </row>
    <row r="3" spans="1:21">
      <c r="B3" s="4"/>
      <c r="C3" s="4"/>
      <c r="H3" s="5">
        <f t="shared" si="0"/>
        <v>0</v>
      </c>
      <c r="I3" s="5">
        <f t="shared" si="1"/>
        <v>0</v>
      </c>
      <c r="J3" s="5">
        <f t="shared" si="2"/>
        <v>0</v>
      </c>
      <c r="K3" s="5">
        <f t="shared" si="3"/>
        <v>0</v>
      </c>
      <c r="L3" s="5">
        <f t="shared" si="4"/>
        <v>0</v>
      </c>
      <c r="M3" s="5">
        <f t="shared" si="5"/>
        <v>0</v>
      </c>
      <c r="O3" s="13" t="s">
        <v>11</v>
      </c>
      <c r="P3">
        <f>L37</f>
        <v>0</v>
      </c>
      <c r="Q3" t="s">
        <v>13</v>
      </c>
    </row>
    <row r="4" spans="1:21">
      <c r="B4" s="4"/>
      <c r="C4" s="4"/>
      <c r="H4" s="5">
        <f t="shared" si="0"/>
        <v>0</v>
      </c>
      <c r="I4" s="5">
        <f t="shared" si="1"/>
        <v>0</v>
      </c>
      <c r="J4" s="5">
        <f t="shared" si="2"/>
        <v>0</v>
      </c>
      <c r="K4" s="5">
        <f t="shared" si="3"/>
        <v>0</v>
      </c>
      <c r="L4" s="5">
        <f t="shared" si="4"/>
        <v>0</v>
      </c>
      <c r="M4" s="5">
        <f t="shared" si="5"/>
        <v>0</v>
      </c>
      <c r="O4" s="13" t="s">
        <v>23</v>
      </c>
      <c r="P4" s="2">
        <f>SUM($T7:$T40)</f>
        <v>0</v>
      </c>
      <c r="Q4" t="s">
        <v>12</v>
      </c>
      <c r="R4" s="15"/>
      <c r="T4" s="2"/>
    </row>
    <row r="5" spans="1:21">
      <c r="B5" s="4"/>
      <c r="C5" s="4"/>
      <c r="H5" s="5">
        <f t="shared" si="0"/>
        <v>0</v>
      </c>
      <c r="I5" s="5">
        <f t="shared" si="1"/>
        <v>0</v>
      </c>
      <c r="J5" s="5">
        <f t="shared" si="2"/>
        <v>0</v>
      </c>
      <c r="K5" s="5">
        <f t="shared" si="3"/>
        <v>0</v>
      </c>
      <c r="L5" s="5">
        <f t="shared" si="4"/>
        <v>0</v>
      </c>
      <c r="M5" s="5">
        <f t="shared" si="5"/>
        <v>0</v>
      </c>
      <c r="O5" s="13" t="s">
        <v>10</v>
      </c>
      <c r="P5">
        <f>COUNTIF(U7:U40, "=有給")+COUNTIF(U7:U40, "=AM有給")*0.5 + COUNTIF(U7:U40, "PM有給")*0.5</f>
        <v>0</v>
      </c>
      <c r="Q5" t="s">
        <v>13</v>
      </c>
    </row>
    <row r="6" spans="1:21">
      <c r="B6" s="4"/>
      <c r="C6" s="4"/>
      <c r="E6" s="4"/>
      <c r="F6" s="4"/>
      <c r="H6" s="5">
        <f t="shared" si="0"/>
        <v>0</v>
      </c>
      <c r="I6" s="5">
        <f t="shared" si="1"/>
        <v>0</v>
      </c>
      <c r="J6" s="5">
        <f t="shared" si="2"/>
        <v>0</v>
      </c>
      <c r="K6" s="5">
        <f t="shared" si="3"/>
        <v>0</v>
      </c>
      <c r="L6" s="5">
        <f t="shared" si="4"/>
        <v>0</v>
      </c>
      <c r="M6" s="5">
        <f t="shared" si="5"/>
        <v>0</v>
      </c>
      <c r="N6" t="s">
        <v>22</v>
      </c>
      <c r="P6" t="s">
        <v>20</v>
      </c>
      <c r="Q6" t="s">
        <v>21</v>
      </c>
      <c r="R6" t="s">
        <v>20</v>
      </c>
      <c r="S6" t="s">
        <v>21</v>
      </c>
      <c r="T6" t="s">
        <v>23</v>
      </c>
      <c r="U6" t="s">
        <v>17</v>
      </c>
    </row>
    <row r="7" spans="1:21">
      <c r="H7" s="5">
        <f t="shared" si="0"/>
        <v>0</v>
      </c>
      <c r="I7" s="5">
        <f t="shared" si="1"/>
        <v>0</v>
      </c>
      <c r="J7" s="5">
        <f t="shared" si="2"/>
        <v>0</v>
      </c>
      <c r="K7" s="5">
        <f t="shared" si="3"/>
        <v>0</v>
      </c>
      <c r="L7" s="5">
        <f t="shared" si="4"/>
        <v>0</v>
      </c>
      <c r="M7" s="5">
        <f t="shared" si="5"/>
        <v>0</v>
      </c>
      <c r="N7">
        <f t="shared" ref="N7:N37" si="6">A2</f>
        <v>0</v>
      </c>
      <c r="O7" s="3">
        <f t="shared" ref="O7:O37" si="7">DATE($O$1, $Q$1-1, 16 + ROW()-7)</f>
        <v>36510</v>
      </c>
      <c r="P7" s="4">
        <f t="shared" ref="P7:P37" si="8">B2</f>
        <v>0</v>
      </c>
      <c r="Q7" s="4">
        <f t="shared" ref="Q7:Q37" si="9">C2</f>
        <v>0</v>
      </c>
      <c r="R7" s="4">
        <f t="shared" ref="R7:R37" si="10">D2</f>
        <v>0</v>
      </c>
      <c r="S7" s="4">
        <f t="shared" ref="S7:S37" si="11">E2</f>
        <v>0</v>
      </c>
      <c r="T7" s="5" t="str">
        <f>IF(U7=0, "-", U7)</f>
        <v/>
      </c>
      <c r="U7" t="str">
        <f>IF(G2="", "", G2)</f>
        <v/>
      </c>
    </row>
    <row r="8" spans="1:21">
      <c r="H8" s="5">
        <f t="shared" si="0"/>
        <v>0</v>
      </c>
      <c r="I8" s="5">
        <f t="shared" si="1"/>
        <v>0</v>
      </c>
      <c r="J8" s="5">
        <f t="shared" si="2"/>
        <v>0</v>
      </c>
      <c r="K8" s="5">
        <f t="shared" si="3"/>
        <v>0</v>
      </c>
      <c r="L8" s="5">
        <f t="shared" si="4"/>
        <v>0</v>
      </c>
      <c r="M8" s="5">
        <f t="shared" si="5"/>
        <v>0</v>
      </c>
      <c r="N8">
        <f t="shared" si="6"/>
        <v>0</v>
      </c>
      <c r="O8" s="3">
        <f t="shared" si="7"/>
        <v>36511</v>
      </c>
      <c r="P8" s="4">
        <f t="shared" si="8"/>
        <v>0</v>
      </c>
      <c r="Q8" s="4">
        <f t="shared" si="9"/>
        <v>0</v>
      </c>
      <c r="R8" s="4">
        <f t="shared" si="10"/>
        <v>0</v>
      </c>
      <c r="S8" s="4">
        <f t="shared" si="11"/>
        <v>0</v>
      </c>
      <c r="T8" s="5" t="str">
        <f t="shared" ref="T8:T37" si="12">IF(U8=0, "-", U8)</f>
        <v/>
      </c>
      <c r="U8" t="str">
        <f t="shared" ref="U8:U37" si="13">IF(G3="", "", G3)</f>
        <v/>
      </c>
    </row>
    <row r="9" spans="1:21">
      <c r="B9" s="4"/>
      <c r="C9" s="4"/>
      <c r="D9" s="4"/>
      <c r="E9" s="4"/>
      <c r="F9" s="4"/>
      <c r="H9" s="5">
        <f t="shared" si="0"/>
        <v>0</v>
      </c>
      <c r="I9" s="5">
        <f t="shared" si="1"/>
        <v>0</v>
      </c>
      <c r="J9" s="5">
        <f t="shared" si="2"/>
        <v>0</v>
      </c>
      <c r="K9" s="5">
        <f t="shared" si="3"/>
        <v>0</v>
      </c>
      <c r="L9" s="5">
        <f t="shared" si="4"/>
        <v>0</v>
      </c>
      <c r="M9" s="5">
        <f t="shared" si="5"/>
        <v>0</v>
      </c>
      <c r="N9">
        <f t="shared" si="6"/>
        <v>0</v>
      </c>
      <c r="O9" s="3">
        <f t="shared" si="7"/>
        <v>36512</v>
      </c>
      <c r="P9" s="4">
        <f t="shared" si="8"/>
        <v>0</v>
      </c>
      <c r="Q9" s="4">
        <f t="shared" si="9"/>
        <v>0</v>
      </c>
      <c r="R9" s="4">
        <f t="shared" si="10"/>
        <v>0</v>
      </c>
      <c r="S9" s="4">
        <f t="shared" si="11"/>
        <v>0</v>
      </c>
      <c r="T9" s="5" t="str">
        <f t="shared" si="12"/>
        <v/>
      </c>
      <c r="U9" t="str">
        <f t="shared" si="13"/>
        <v/>
      </c>
    </row>
    <row r="10" spans="1:21">
      <c r="B10" s="4"/>
      <c r="C10" s="4"/>
      <c r="H10" s="5">
        <f t="shared" si="0"/>
        <v>0</v>
      </c>
      <c r="I10" s="5">
        <f t="shared" si="1"/>
        <v>0</v>
      </c>
      <c r="J10" s="5">
        <f t="shared" si="2"/>
        <v>0</v>
      </c>
      <c r="K10" s="5">
        <f t="shared" si="3"/>
        <v>0</v>
      </c>
      <c r="L10" s="5">
        <f t="shared" si="4"/>
        <v>0</v>
      </c>
      <c r="M10" s="5">
        <f t="shared" si="5"/>
        <v>0</v>
      </c>
      <c r="N10">
        <f t="shared" si="6"/>
        <v>0</v>
      </c>
      <c r="O10" s="3">
        <f t="shared" si="7"/>
        <v>36513</v>
      </c>
      <c r="P10" s="4">
        <f t="shared" si="8"/>
        <v>0</v>
      </c>
      <c r="Q10" s="4">
        <f t="shared" si="9"/>
        <v>0</v>
      </c>
      <c r="R10" s="4">
        <f t="shared" si="10"/>
        <v>0</v>
      </c>
      <c r="S10" s="4">
        <f t="shared" si="11"/>
        <v>0</v>
      </c>
      <c r="T10" s="5" t="str">
        <f t="shared" si="12"/>
        <v/>
      </c>
      <c r="U10" t="str">
        <f t="shared" si="13"/>
        <v/>
      </c>
    </row>
    <row r="11" spans="1:21">
      <c r="B11" s="4"/>
      <c r="C11" s="4"/>
      <c r="H11" s="5">
        <f t="shared" si="0"/>
        <v>0</v>
      </c>
      <c r="I11" s="5">
        <f t="shared" si="1"/>
        <v>0</v>
      </c>
      <c r="J11" s="5">
        <f t="shared" si="2"/>
        <v>0</v>
      </c>
      <c r="K11" s="5">
        <f t="shared" si="3"/>
        <v>0</v>
      </c>
      <c r="L11" s="5">
        <f t="shared" si="4"/>
        <v>0</v>
      </c>
      <c r="M11" s="5">
        <f t="shared" si="5"/>
        <v>0</v>
      </c>
      <c r="N11">
        <f t="shared" si="6"/>
        <v>0</v>
      </c>
      <c r="O11" s="3">
        <f t="shared" si="7"/>
        <v>36514</v>
      </c>
      <c r="P11" s="4">
        <f t="shared" si="8"/>
        <v>0</v>
      </c>
      <c r="Q11" s="4">
        <f t="shared" si="9"/>
        <v>0</v>
      </c>
      <c r="R11" s="4">
        <f t="shared" si="10"/>
        <v>0</v>
      </c>
      <c r="S11" s="4">
        <f t="shared" si="11"/>
        <v>0</v>
      </c>
      <c r="T11" s="5" t="str">
        <f t="shared" si="12"/>
        <v/>
      </c>
      <c r="U11" t="str">
        <f t="shared" si="13"/>
        <v/>
      </c>
    </row>
    <row r="12" spans="1:21">
      <c r="B12" s="4"/>
      <c r="C12" s="4"/>
      <c r="H12" s="5">
        <f t="shared" si="0"/>
        <v>0</v>
      </c>
      <c r="I12" s="5">
        <f t="shared" si="1"/>
        <v>0</v>
      </c>
      <c r="J12" s="5">
        <f t="shared" si="2"/>
        <v>0</v>
      </c>
      <c r="K12" s="5">
        <f t="shared" si="3"/>
        <v>0</v>
      </c>
      <c r="L12" s="5">
        <f t="shared" si="4"/>
        <v>0</v>
      </c>
      <c r="M12" s="5">
        <f t="shared" si="5"/>
        <v>0</v>
      </c>
      <c r="N12">
        <f t="shared" si="6"/>
        <v>0</v>
      </c>
      <c r="O12" s="3">
        <f t="shared" si="7"/>
        <v>36515</v>
      </c>
      <c r="P12" s="4">
        <f t="shared" si="8"/>
        <v>0</v>
      </c>
      <c r="Q12" s="4">
        <f t="shared" si="9"/>
        <v>0</v>
      </c>
      <c r="R12" s="4">
        <f t="shared" si="10"/>
        <v>0</v>
      </c>
      <c r="S12" s="4">
        <f t="shared" si="11"/>
        <v>0</v>
      </c>
      <c r="T12" s="5" t="str">
        <f t="shared" si="12"/>
        <v/>
      </c>
      <c r="U12" t="str">
        <f t="shared" si="13"/>
        <v/>
      </c>
    </row>
    <row r="13" spans="1:21">
      <c r="B13" s="4"/>
      <c r="C13" s="4"/>
      <c r="D13" s="4"/>
      <c r="E13" s="4"/>
      <c r="F13" s="4"/>
      <c r="H13" s="5">
        <f t="shared" si="0"/>
        <v>0</v>
      </c>
      <c r="I13" s="5">
        <f t="shared" si="1"/>
        <v>0</v>
      </c>
      <c r="J13" s="5">
        <f t="shared" si="2"/>
        <v>0</v>
      </c>
      <c r="K13" s="5">
        <f t="shared" si="3"/>
        <v>0</v>
      </c>
      <c r="L13" s="5">
        <f t="shared" si="4"/>
        <v>0</v>
      </c>
      <c r="M13" s="5">
        <f t="shared" si="5"/>
        <v>0</v>
      </c>
      <c r="N13">
        <f t="shared" si="6"/>
        <v>0</v>
      </c>
      <c r="O13" s="3">
        <f t="shared" si="7"/>
        <v>36516</v>
      </c>
      <c r="P13" s="4">
        <f t="shared" si="8"/>
        <v>0</v>
      </c>
      <c r="Q13" s="4">
        <f t="shared" si="9"/>
        <v>0</v>
      </c>
      <c r="R13" s="4">
        <f t="shared" si="10"/>
        <v>0</v>
      </c>
      <c r="S13" s="4">
        <f t="shared" si="11"/>
        <v>0</v>
      </c>
      <c r="T13" s="5" t="str">
        <f t="shared" si="12"/>
        <v/>
      </c>
      <c r="U13" t="str">
        <f t="shared" si="13"/>
        <v/>
      </c>
    </row>
    <row r="14" spans="1:21">
      <c r="B14" s="4"/>
      <c r="C14" s="4"/>
      <c r="H14" s="5">
        <f t="shared" si="0"/>
        <v>0</v>
      </c>
      <c r="I14" s="5">
        <f t="shared" si="1"/>
        <v>0</v>
      </c>
      <c r="J14" s="5">
        <f t="shared" si="2"/>
        <v>0</v>
      </c>
      <c r="K14" s="5">
        <f t="shared" si="3"/>
        <v>0</v>
      </c>
      <c r="L14" s="5">
        <f t="shared" si="4"/>
        <v>0</v>
      </c>
      <c r="M14" s="5">
        <f t="shared" si="5"/>
        <v>0</v>
      </c>
      <c r="N14">
        <f t="shared" si="6"/>
        <v>0</v>
      </c>
      <c r="O14" s="3">
        <f t="shared" si="7"/>
        <v>36517</v>
      </c>
      <c r="P14" s="4">
        <f t="shared" si="8"/>
        <v>0</v>
      </c>
      <c r="Q14" s="4">
        <f t="shared" si="9"/>
        <v>0</v>
      </c>
      <c r="R14" s="4">
        <f t="shared" si="10"/>
        <v>0</v>
      </c>
      <c r="S14" s="4">
        <f t="shared" si="11"/>
        <v>0</v>
      </c>
      <c r="T14" s="5" t="str">
        <f t="shared" si="12"/>
        <v/>
      </c>
      <c r="U14" t="str">
        <f t="shared" si="13"/>
        <v/>
      </c>
    </row>
    <row r="15" spans="1:21">
      <c r="H15" s="5">
        <f t="shared" si="0"/>
        <v>0</v>
      </c>
      <c r="I15" s="5">
        <f t="shared" si="1"/>
        <v>0</v>
      </c>
      <c r="J15" s="5">
        <f t="shared" si="2"/>
        <v>0</v>
      </c>
      <c r="K15" s="5">
        <f t="shared" si="3"/>
        <v>0</v>
      </c>
      <c r="L15" s="5">
        <f t="shared" si="4"/>
        <v>0</v>
      </c>
      <c r="M15" s="5">
        <f t="shared" si="5"/>
        <v>0</v>
      </c>
      <c r="N15">
        <f t="shared" si="6"/>
        <v>0</v>
      </c>
      <c r="O15" s="3">
        <f t="shared" si="7"/>
        <v>36518</v>
      </c>
      <c r="P15" s="4">
        <f t="shared" si="8"/>
        <v>0</v>
      </c>
      <c r="Q15" s="4">
        <f t="shared" si="9"/>
        <v>0</v>
      </c>
      <c r="R15" s="4">
        <f t="shared" si="10"/>
        <v>0</v>
      </c>
      <c r="S15" s="4">
        <f t="shared" si="11"/>
        <v>0</v>
      </c>
      <c r="T15" s="5" t="str">
        <f t="shared" si="12"/>
        <v/>
      </c>
      <c r="U15" t="str">
        <f t="shared" si="13"/>
        <v/>
      </c>
    </row>
    <row r="16" spans="1:21">
      <c r="H16" s="5">
        <f t="shared" si="0"/>
        <v>0</v>
      </c>
      <c r="I16" s="5">
        <f t="shared" si="1"/>
        <v>0</v>
      </c>
      <c r="J16" s="5">
        <f t="shared" si="2"/>
        <v>0</v>
      </c>
      <c r="K16" s="5">
        <f t="shared" si="3"/>
        <v>0</v>
      </c>
      <c r="L16" s="5">
        <f t="shared" si="4"/>
        <v>0</v>
      </c>
      <c r="M16" s="5">
        <f t="shared" si="5"/>
        <v>0</v>
      </c>
      <c r="N16">
        <f t="shared" si="6"/>
        <v>0</v>
      </c>
      <c r="O16" s="3">
        <f t="shared" si="7"/>
        <v>36519</v>
      </c>
      <c r="P16" s="4">
        <f t="shared" si="8"/>
        <v>0</v>
      </c>
      <c r="Q16" s="4">
        <f t="shared" si="9"/>
        <v>0</v>
      </c>
      <c r="R16" s="4">
        <f t="shared" si="10"/>
        <v>0</v>
      </c>
      <c r="S16" s="4">
        <f t="shared" si="11"/>
        <v>0</v>
      </c>
      <c r="T16" s="5" t="str">
        <f t="shared" si="12"/>
        <v/>
      </c>
      <c r="U16" t="str">
        <f t="shared" si="13"/>
        <v/>
      </c>
    </row>
    <row r="17" spans="2:21">
      <c r="H17" s="5">
        <f t="shared" si="0"/>
        <v>0</v>
      </c>
      <c r="I17" s="5">
        <f t="shared" si="1"/>
        <v>0</v>
      </c>
      <c r="J17" s="5">
        <f t="shared" si="2"/>
        <v>0</v>
      </c>
      <c r="K17" s="5">
        <f t="shared" si="3"/>
        <v>0</v>
      </c>
      <c r="L17" s="5">
        <f t="shared" si="4"/>
        <v>0</v>
      </c>
      <c r="M17" s="5">
        <f t="shared" si="5"/>
        <v>0</v>
      </c>
      <c r="N17">
        <f t="shared" si="6"/>
        <v>0</v>
      </c>
      <c r="O17" s="3">
        <f t="shared" si="7"/>
        <v>36520</v>
      </c>
      <c r="P17" s="4">
        <f t="shared" si="8"/>
        <v>0</v>
      </c>
      <c r="Q17" s="4">
        <f t="shared" si="9"/>
        <v>0</v>
      </c>
      <c r="R17" s="4">
        <f t="shared" si="10"/>
        <v>0</v>
      </c>
      <c r="S17" s="4">
        <f t="shared" si="11"/>
        <v>0</v>
      </c>
      <c r="T17" s="5" t="str">
        <f t="shared" si="12"/>
        <v/>
      </c>
      <c r="U17" t="str">
        <f t="shared" si="13"/>
        <v/>
      </c>
    </row>
    <row r="18" spans="2:21">
      <c r="H18" s="5">
        <f t="shared" si="0"/>
        <v>0</v>
      </c>
      <c r="I18" s="5">
        <f t="shared" si="1"/>
        <v>0</v>
      </c>
      <c r="J18" s="5">
        <f t="shared" si="2"/>
        <v>0</v>
      </c>
      <c r="K18" s="5">
        <f t="shared" si="3"/>
        <v>0</v>
      </c>
      <c r="L18" s="5">
        <f t="shared" si="4"/>
        <v>0</v>
      </c>
      <c r="M18" s="5">
        <f t="shared" si="5"/>
        <v>0</v>
      </c>
      <c r="N18">
        <f t="shared" si="6"/>
        <v>0</v>
      </c>
      <c r="O18" s="3">
        <f t="shared" si="7"/>
        <v>36521</v>
      </c>
      <c r="P18" s="4">
        <f t="shared" si="8"/>
        <v>0</v>
      </c>
      <c r="Q18" s="4">
        <f t="shared" si="9"/>
        <v>0</v>
      </c>
      <c r="R18" s="4">
        <f t="shared" si="10"/>
        <v>0</v>
      </c>
      <c r="S18" s="4">
        <f t="shared" si="11"/>
        <v>0</v>
      </c>
      <c r="T18" s="5" t="str">
        <f t="shared" si="12"/>
        <v/>
      </c>
      <c r="U18" t="str">
        <f t="shared" si="13"/>
        <v/>
      </c>
    </row>
    <row r="19" spans="2:21">
      <c r="H19" s="5">
        <f t="shared" si="0"/>
        <v>0</v>
      </c>
      <c r="I19" s="5">
        <f t="shared" si="1"/>
        <v>0</v>
      </c>
      <c r="J19" s="5">
        <f t="shared" si="2"/>
        <v>0</v>
      </c>
      <c r="K19" s="5">
        <f t="shared" si="3"/>
        <v>0</v>
      </c>
      <c r="L19" s="5">
        <f t="shared" si="4"/>
        <v>0</v>
      </c>
      <c r="M19" s="5">
        <f t="shared" si="5"/>
        <v>0</v>
      </c>
      <c r="N19">
        <f t="shared" si="6"/>
        <v>0</v>
      </c>
      <c r="O19" s="3">
        <f t="shared" si="7"/>
        <v>36522</v>
      </c>
      <c r="P19" s="4">
        <f t="shared" si="8"/>
        <v>0</v>
      </c>
      <c r="Q19" s="4">
        <f t="shared" si="9"/>
        <v>0</v>
      </c>
      <c r="R19" s="4">
        <f t="shared" si="10"/>
        <v>0</v>
      </c>
      <c r="S19" s="4">
        <f t="shared" si="11"/>
        <v>0</v>
      </c>
      <c r="T19" s="5" t="str">
        <f t="shared" si="12"/>
        <v/>
      </c>
      <c r="U19" t="str">
        <f t="shared" si="13"/>
        <v/>
      </c>
    </row>
    <row r="20" spans="2:21">
      <c r="H20" s="5">
        <f t="shared" si="0"/>
        <v>0</v>
      </c>
      <c r="I20" s="5">
        <f t="shared" si="1"/>
        <v>0</v>
      </c>
      <c r="J20" s="5">
        <f t="shared" si="2"/>
        <v>0</v>
      </c>
      <c r="K20" s="5">
        <f t="shared" si="3"/>
        <v>0</v>
      </c>
      <c r="L20" s="5">
        <f t="shared" si="4"/>
        <v>0</v>
      </c>
      <c r="M20" s="5">
        <f t="shared" si="5"/>
        <v>0</v>
      </c>
      <c r="N20">
        <f t="shared" si="6"/>
        <v>0</v>
      </c>
      <c r="O20" s="3">
        <f t="shared" si="7"/>
        <v>36523</v>
      </c>
      <c r="P20" s="4">
        <f t="shared" si="8"/>
        <v>0</v>
      </c>
      <c r="Q20" s="4">
        <f t="shared" si="9"/>
        <v>0</v>
      </c>
      <c r="R20" s="4">
        <f t="shared" si="10"/>
        <v>0</v>
      </c>
      <c r="S20" s="4">
        <f t="shared" si="11"/>
        <v>0</v>
      </c>
      <c r="T20" s="5" t="str">
        <f t="shared" si="12"/>
        <v/>
      </c>
      <c r="U20" t="str">
        <f t="shared" si="13"/>
        <v/>
      </c>
    </row>
    <row r="21" spans="2:21">
      <c r="H21" s="5">
        <f t="shared" si="0"/>
        <v>0</v>
      </c>
      <c r="I21" s="5">
        <f t="shared" si="1"/>
        <v>0</v>
      </c>
      <c r="J21" s="5">
        <f t="shared" si="2"/>
        <v>0</v>
      </c>
      <c r="K21" s="5">
        <f t="shared" si="3"/>
        <v>0</v>
      </c>
      <c r="L21" s="5">
        <f t="shared" si="4"/>
        <v>0</v>
      </c>
      <c r="M21" s="5">
        <f t="shared" si="5"/>
        <v>0</v>
      </c>
      <c r="N21">
        <f t="shared" si="6"/>
        <v>0</v>
      </c>
      <c r="O21" s="3">
        <f t="shared" si="7"/>
        <v>36524</v>
      </c>
      <c r="P21" s="4">
        <f t="shared" si="8"/>
        <v>0</v>
      </c>
      <c r="Q21" s="4">
        <f t="shared" si="9"/>
        <v>0</v>
      </c>
      <c r="R21" s="4">
        <f t="shared" si="10"/>
        <v>0</v>
      </c>
      <c r="S21" s="4">
        <f t="shared" si="11"/>
        <v>0</v>
      </c>
      <c r="T21" s="5" t="str">
        <f t="shared" si="12"/>
        <v/>
      </c>
      <c r="U21" t="str">
        <f t="shared" si="13"/>
        <v/>
      </c>
    </row>
    <row r="22" spans="2:21">
      <c r="H22" s="5">
        <f t="shared" si="0"/>
        <v>0</v>
      </c>
      <c r="I22" s="5">
        <f t="shared" si="1"/>
        <v>0</v>
      </c>
      <c r="J22" s="5">
        <f t="shared" si="2"/>
        <v>0</v>
      </c>
      <c r="K22" s="5">
        <f t="shared" si="3"/>
        <v>0</v>
      </c>
      <c r="L22" s="5">
        <f t="shared" si="4"/>
        <v>0</v>
      </c>
      <c r="M22" s="5">
        <f t="shared" si="5"/>
        <v>0</v>
      </c>
      <c r="N22">
        <f t="shared" si="6"/>
        <v>0</v>
      </c>
      <c r="O22" s="3">
        <f t="shared" si="7"/>
        <v>36525</v>
      </c>
      <c r="P22" s="4">
        <f t="shared" si="8"/>
        <v>0</v>
      </c>
      <c r="Q22" s="4">
        <f t="shared" si="9"/>
        <v>0</v>
      </c>
      <c r="R22" s="4">
        <f t="shared" si="10"/>
        <v>0</v>
      </c>
      <c r="S22" s="4">
        <f t="shared" si="11"/>
        <v>0</v>
      </c>
      <c r="T22" s="5" t="str">
        <f t="shared" si="12"/>
        <v/>
      </c>
      <c r="U22" t="str">
        <f t="shared" si="13"/>
        <v/>
      </c>
    </row>
    <row r="23" spans="2:21">
      <c r="B23" s="4"/>
      <c r="C23" s="4"/>
      <c r="E23" s="4"/>
      <c r="F23" s="4"/>
      <c r="H23" s="5">
        <f t="shared" si="0"/>
        <v>0</v>
      </c>
      <c r="I23" s="5">
        <f t="shared" si="1"/>
        <v>0</v>
      </c>
      <c r="J23" s="5">
        <f t="shared" si="2"/>
        <v>0</v>
      </c>
      <c r="K23" s="5">
        <f t="shared" si="3"/>
        <v>0</v>
      </c>
      <c r="L23" s="5">
        <f t="shared" si="4"/>
        <v>0</v>
      </c>
      <c r="M23" s="5">
        <f t="shared" si="5"/>
        <v>0</v>
      </c>
      <c r="N23">
        <f t="shared" si="6"/>
        <v>0</v>
      </c>
      <c r="O23" s="3">
        <f t="shared" si="7"/>
        <v>36526</v>
      </c>
      <c r="P23" s="4">
        <f t="shared" si="8"/>
        <v>0</v>
      </c>
      <c r="Q23" s="4">
        <f t="shared" si="9"/>
        <v>0</v>
      </c>
      <c r="R23" s="4">
        <f t="shared" si="10"/>
        <v>0</v>
      </c>
      <c r="S23" s="4">
        <f t="shared" si="11"/>
        <v>0</v>
      </c>
      <c r="T23" s="5" t="str">
        <f t="shared" si="12"/>
        <v/>
      </c>
      <c r="U23" t="str">
        <f t="shared" si="13"/>
        <v/>
      </c>
    </row>
    <row r="24" spans="2:21">
      <c r="B24" s="4"/>
      <c r="C24" s="4"/>
      <c r="H24" s="5">
        <f t="shared" si="0"/>
        <v>0</v>
      </c>
      <c r="I24" s="5">
        <f t="shared" si="1"/>
        <v>0</v>
      </c>
      <c r="J24" s="5">
        <f t="shared" si="2"/>
        <v>0</v>
      </c>
      <c r="K24" s="5">
        <f t="shared" si="3"/>
        <v>0</v>
      </c>
      <c r="L24" s="5">
        <f t="shared" si="4"/>
        <v>0</v>
      </c>
      <c r="M24" s="5">
        <f t="shared" si="5"/>
        <v>0</v>
      </c>
      <c r="N24">
        <f t="shared" si="6"/>
        <v>0</v>
      </c>
      <c r="O24" s="3">
        <f t="shared" si="7"/>
        <v>36527</v>
      </c>
      <c r="P24" s="4">
        <f t="shared" si="8"/>
        <v>0</v>
      </c>
      <c r="Q24" s="4">
        <f t="shared" si="9"/>
        <v>0</v>
      </c>
      <c r="R24" s="4">
        <f t="shared" si="10"/>
        <v>0</v>
      </c>
      <c r="S24" s="4">
        <f t="shared" si="11"/>
        <v>0</v>
      </c>
      <c r="T24" s="5" t="str">
        <f t="shared" si="12"/>
        <v/>
      </c>
      <c r="U24" t="str">
        <f t="shared" si="13"/>
        <v/>
      </c>
    </row>
    <row r="25" spans="2:21">
      <c r="B25" s="4"/>
      <c r="C25" s="4"/>
      <c r="H25" s="5">
        <f t="shared" si="0"/>
        <v>0</v>
      </c>
      <c r="I25" s="5">
        <f t="shared" si="1"/>
        <v>0</v>
      </c>
      <c r="J25" s="5">
        <f t="shared" si="2"/>
        <v>0</v>
      </c>
      <c r="K25" s="5">
        <f t="shared" si="3"/>
        <v>0</v>
      </c>
      <c r="L25" s="5">
        <f t="shared" si="4"/>
        <v>0</v>
      </c>
      <c r="M25" s="5">
        <f t="shared" si="5"/>
        <v>0</v>
      </c>
      <c r="N25">
        <f t="shared" si="6"/>
        <v>0</v>
      </c>
      <c r="O25" s="3">
        <f t="shared" si="7"/>
        <v>36528</v>
      </c>
      <c r="P25" s="4">
        <f t="shared" si="8"/>
        <v>0</v>
      </c>
      <c r="Q25" s="4">
        <f t="shared" si="9"/>
        <v>0</v>
      </c>
      <c r="R25" s="4">
        <f t="shared" si="10"/>
        <v>0</v>
      </c>
      <c r="S25" s="4">
        <f t="shared" si="11"/>
        <v>0</v>
      </c>
      <c r="T25" s="5" t="str">
        <f t="shared" si="12"/>
        <v/>
      </c>
      <c r="U25" t="str">
        <f t="shared" si="13"/>
        <v/>
      </c>
    </row>
    <row r="26" spans="2:21">
      <c r="B26" s="4"/>
      <c r="C26" s="4"/>
      <c r="H26" s="5">
        <f t="shared" si="0"/>
        <v>0</v>
      </c>
      <c r="I26" s="5">
        <f t="shared" si="1"/>
        <v>0</v>
      </c>
      <c r="J26" s="5">
        <f t="shared" si="2"/>
        <v>0</v>
      </c>
      <c r="K26" s="5">
        <f t="shared" si="3"/>
        <v>0</v>
      </c>
      <c r="L26" s="5">
        <f t="shared" si="4"/>
        <v>0</v>
      </c>
      <c r="M26" s="5">
        <f t="shared" si="5"/>
        <v>0</v>
      </c>
      <c r="N26">
        <f t="shared" si="6"/>
        <v>0</v>
      </c>
      <c r="O26" s="3">
        <f t="shared" si="7"/>
        <v>36529</v>
      </c>
      <c r="P26" s="4">
        <f t="shared" si="8"/>
        <v>0</v>
      </c>
      <c r="Q26" s="4">
        <f t="shared" si="9"/>
        <v>0</v>
      </c>
      <c r="R26" s="4">
        <f t="shared" si="10"/>
        <v>0</v>
      </c>
      <c r="S26" s="4">
        <f t="shared" si="11"/>
        <v>0</v>
      </c>
      <c r="T26" s="5" t="str">
        <f t="shared" si="12"/>
        <v/>
      </c>
      <c r="U26" t="str">
        <f t="shared" si="13"/>
        <v/>
      </c>
    </row>
    <row r="27" spans="2:21">
      <c r="B27" s="4"/>
      <c r="C27" s="4"/>
      <c r="H27" s="5">
        <f t="shared" si="0"/>
        <v>0</v>
      </c>
      <c r="I27" s="5">
        <f t="shared" si="1"/>
        <v>0</v>
      </c>
      <c r="J27" s="5">
        <f t="shared" si="2"/>
        <v>0</v>
      </c>
      <c r="K27" s="5">
        <f t="shared" si="3"/>
        <v>0</v>
      </c>
      <c r="L27" s="5">
        <f t="shared" si="4"/>
        <v>0</v>
      </c>
      <c r="M27" s="5">
        <f t="shared" si="5"/>
        <v>0</v>
      </c>
      <c r="N27">
        <f t="shared" si="6"/>
        <v>0</v>
      </c>
      <c r="O27" s="3">
        <f t="shared" si="7"/>
        <v>36530</v>
      </c>
      <c r="P27" s="4">
        <f t="shared" si="8"/>
        <v>0</v>
      </c>
      <c r="Q27" s="4">
        <f t="shared" si="9"/>
        <v>0</v>
      </c>
      <c r="R27" s="4">
        <f t="shared" si="10"/>
        <v>0</v>
      </c>
      <c r="S27" s="4">
        <f t="shared" si="11"/>
        <v>0</v>
      </c>
      <c r="T27" s="5" t="str">
        <f t="shared" si="12"/>
        <v/>
      </c>
      <c r="U27" t="str">
        <f t="shared" si="13"/>
        <v/>
      </c>
    </row>
    <row r="28" spans="2:21">
      <c r="H28" s="5">
        <f t="shared" si="0"/>
        <v>0</v>
      </c>
      <c r="I28" s="5">
        <f t="shared" si="1"/>
        <v>0</v>
      </c>
      <c r="J28" s="5">
        <f t="shared" si="2"/>
        <v>0</v>
      </c>
      <c r="K28" s="5">
        <f t="shared" si="3"/>
        <v>0</v>
      </c>
      <c r="L28" s="5">
        <f t="shared" si="4"/>
        <v>0</v>
      </c>
      <c r="M28" s="5">
        <f t="shared" si="5"/>
        <v>0</v>
      </c>
      <c r="N28">
        <f t="shared" si="6"/>
        <v>0</v>
      </c>
      <c r="O28" s="3">
        <f t="shared" si="7"/>
        <v>36531</v>
      </c>
      <c r="P28" s="4">
        <f t="shared" si="8"/>
        <v>0</v>
      </c>
      <c r="Q28" s="4">
        <f t="shared" si="9"/>
        <v>0</v>
      </c>
      <c r="R28" s="4">
        <f t="shared" si="10"/>
        <v>0</v>
      </c>
      <c r="S28" s="4">
        <f t="shared" si="11"/>
        <v>0</v>
      </c>
      <c r="T28" s="5" t="str">
        <f t="shared" si="12"/>
        <v/>
      </c>
      <c r="U28" t="str">
        <f t="shared" si="13"/>
        <v/>
      </c>
    </row>
    <row r="29" spans="2:21">
      <c r="B29" s="4"/>
      <c r="C29" s="4"/>
      <c r="H29" s="5">
        <f t="shared" si="0"/>
        <v>0</v>
      </c>
      <c r="I29" s="5">
        <f t="shared" si="1"/>
        <v>0</v>
      </c>
      <c r="J29" s="5">
        <f t="shared" si="2"/>
        <v>0</v>
      </c>
      <c r="K29" s="5">
        <f t="shared" si="3"/>
        <v>0</v>
      </c>
      <c r="L29" s="5">
        <f t="shared" si="4"/>
        <v>0</v>
      </c>
      <c r="M29" s="5">
        <f t="shared" si="5"/>
        <v>0</v>
      </c>
      <c r="N29">
        <f t="shared" si="6"/>
        <v>0</v>
      </c>
      <c r="O29" s="3">
        <f t="shared" si="7"/>
        <v>36532</v>
      </c>
      <c r="P29" s="4">
        <f t="shared" si="8"/>
        <v>0</v>
      </c>
      <c r="Q29" s="4">
        <f t="shared" si="9"/>
        <v>0</v>
      </c>
      <c r="R29" s="4">
        <f t="shared" si="10"/>
        <v>0</v>
      </c>
      <c r="S29" s="4">
        <f t="shared" si="11"/>
        <v>0</v>
      </c>
      <c r="T29" s="5" t="str">
        <f t="shared" si="12"/>
        <v/>
      </c>
      <c r="U29" t="str">
        <f t="shared" si="13"/>
        <v/>
      </c>
    </row>
    <row r="30" spans="2:21">
      <c r="B30" s="4"/>
      <c r="C30" s="4"/>
      <c r="H30" s="5">
        <f t="shared" si="0"/>
        <v>0</v>
      </c>
      <c r="I30" s="5">
        <f t="shared" si="1"/>
        <v>0</v>
      </c>
      <c r="J30" s="5">
        <f t="shared" si="2"/>
        <v>0</v>
      </c>
      <c r="K30" s="5">
        <f t="shared" si="3"/>
        <v>0</v>
      </c>
      <c r="L30" s="5">
        <f t="shared" si="4"/>
        <v>0</v>
      </c>
      <c r="M30" s="5">
        <f t="shared" si="5"/>
        <v>0</v>
      </c>
      <c r="N30">
        <f t="shared" si="6"/>
        <v>0</v>
      </c>
      <c r="O30" s="3">
        <f t="shared" si="7"/>
        <v>36533</v>
      </c>
      <c r="P30" s="4">
        <f t="shared" si="8"/>
        <v>0</v>
      </c>
      <c r="Q30" s="4">
        <f t="shared" si="9"/>
        <v>0</v>
      </c>
      <c r="R30" s="4">
        <f t="shared" si="10"/>
        <v>0</v>
      </c>
      <c r="S30" s="4">
        <f t="shared" si="11"/>
        <v>0</v>
      </c>
      <c r="T30" s="5" t="str">
        <f t="shared" si="12"/>
        <v/>
      </c>
      <c r="U30" t="str">
        <f t="shared" si="13"/>
        <v/>
      </c>
    </row>
    <row r="31" spans="2:21">
      <c r="B31" s="4"/>
      <c r="C31" s="4"/>
      <c r="H31" s="5">
        <f t="shared" si="0"/>
        <v>0</v>
      </c>
      <c r="I31" s="5">
        <f t="shared" si="1"/>
        <v>0</v>
      </c>
      <c r="J31" s="5">
        <f t="shared" si="2"/>
        <v>0</v>
      </c>
      <c r="K31" s="5">
        <f t="shared" ref="K31:K32" si="14">MIN("8:00", J31)</f>
        <v>0</v>
      </c>
      <c r="L31" s="5">
        <f t="shared" ref="L31:L32" si="15">MAX("8:00", J31) - "8:00"</f>
        <v>0</v>
      </c>
      <c r="M31" s="5">
        <f t="shared" si="5"/>
        <v>0</v>
      </c>
      <c r="N31">
        <f t="shared" si="6"/>
        <v>0</v>
      </c>
      <c r="O31" s="3">
        <f t="shared" si="7"/>
        <v>36534</v>
      </c>
      <c r="P31" s="4">
        <f t="shared" si="8"/>
        <v>0</v>
      </c>
      <c r="Q31" s="4">
        <f t="shared" si="9"/>
        <v>0</v>
      </c>
      <c r="R31" s="4">
        <f t="shared" si="10"/>
        <v>0</v>
      </c>
      <c r="S31" s="4">
        <f t="shared" si="11"/>
        <v>0</v>
      </c>
      <c r="T31" s="5" t="str">
        <f t="shared" si="12"/>
        <v/>
      </c>
      <c r="U31" t="str">
        <f t="shared" si="13"/>
        <v/>
      </c>
    </row>
    <row r="32" spans="2:21">
      <c r="B32" s="4"/>
      <c r="H32" s="5">
        <f t="shared" si="0"/>
        <v>0</v>
      </c>
      <c r="I32" s="5">
        <f t="shared" si="1"/>
        <v>0</v>
      </c>
      <c r="J32" s="5">
        <f t="shared" si="2"/>
        <v>0</v>
      </c>
      <c r="K32" s="5">
        <f t="shared" si="14"/>
        <v>0</v>
      </c>
      <c r="L32" s="5">
        <f t="shared" si="15"/>
        <v>0</v>
      </c>
      <c r="M32" s="5">
        <f t="shared" si="5"/>
        <v>0</v>
      </c>
      <c r="N32">
        <f t="shared" si="6"/>
        <v>0</v>
      </c>
      <c r="O32" s="3">
        <f t="shared" si="7"/>
        <v>36535</v>
      </c>
      <c r="P32" s="4">
        <f t="shared" si="8"/>
        <v>0</v>
      </c>
      <c r="Q32" s="4">
        <f t="shared" si="9"/>
        <v>0</v>
      </c>
      <c r="R32" s="4">
        <f t="shared" si="10"/>
        <v>0</v>
      </c>
      <c r="S32" s="4">
        <f t="shared" si="11"/>
        <v>0</v>
      </c>
      <c r="T32" s="5" t="str">
        <f t="shared" si="12"/>
        <v/>
      </c>
      <c r="U32" t="str">
        <f t="shared" si="13"/>
        <v/>
      </c>
    </row>
    <row r="33" spans="11:21">
      <c r="N33">
        <f t="shared" si="6"/>
        <v>0</v>
      </c>
      <c r="O33" s="3">
        <f t="shared" si="7"/>
        <v>36536</v>
      </c>
      <c r="P33" s="4">
        <f t="shared" si="8"/>
        <v>0</v>
      </c>
      <c r="Q33" s="4">
        <f t="shared" si="9"/>
        <v>0</v>
      </c>
      <c r="R33" s="4">
        <f t="shared" si="10"/>
        <v>0</v>
      </c>
      <c r="S33" s="4">
        <f t="shared" si="11"/>
        <v>0</v>
      </c>
      <c r="T33" s="5" t="str">
        <f t="shared" si="12"/>
        <v/>
      </c>
      <c r="U33" t="str">
        <f t="shared" si="13"/>
        <v/>
      </c>
    </row>
    <row r="34" spans="11:21">
      <c r="N34">
        <f t="shared" si="6"/>
        <v>0</v>
      </c>
      <c r="O34" s="3">
        <f t="shared" si="7"/>
        <v>36537</v>
      </c>
      <c r="P34" s="4">
        <f t="shared" si="8"/>
        <v>0</v>
      </c>
      <c r="Q34" s="4">
        <f t="shared" si="9"/>
        <v>0</v>
      </c>
      <c r="R34" s="4">
        <f t="shared" si="10"/>
        <v>0</v>
      </c>
      <c r="S34" s="4">
        <f t="shared" si="11"/>
        <v>0</v>
      </c>
      <c r="T34" s="5" t="str">
        <f t="shared" si="12"/>
        <v/>
      </c>
      <c r="U34" t="str">
        <f t="shared" si="13"/>
        <v/>
      </c>
    </row>
    <row r="35" spans="11:21">
      <c r="N35">
        <f t="shared" si="6"/>
        <v>0</v>
      </c>
      <c r="O35" s="3">
        <f t="shared" si="7"/>
        <v>36538</v>
      </c>
      <c r="P35" s="4">
        <f t="shared" si="8"/>
        <v>0</v>
      </c>
      <c r="Q35" s="4">
        <f t="shared" si="9"/>
        <v>0</v>
      </c>
      <c r="R35" s="4">
        <f t="shared" si="10"/>
        <v>0</v>
      </c>
      <c r="S35" s="4">
        <f t="shared" si="11"/>
        <v>0</v>
      </c>
      <c r="T35" s="5" t="str">
        <f t="shared" si="12"/>
        <v/>
      </c>
      <c r="U35" t="str">
        <f t="shared" si="13"/>
        <v/>
      </c>
    </row>
    <row r="36" spans="11:21">
      <c r="K36" s="2">
        <f>SUM(K2:K35)</f>
        <v>0</v>
      </c>
      <c r="L36" s="2">
        <f>SUM(L2:L35)</f>
        <v>0</v>
      </c>
      <c r="M36" s="2">
        <f>SUM(M2:M35)</f>
        <v>0</v>
      </c>
      <c r="N36">
        <f t="shared" si="6"/>
        <v>0</v>
      </c>
      <c r="O36" s="3">
        <f t="shared" si="7"/>
        <v>36539</v>
      </c>
      <c r="P36" s="4">
        <f t="shared" si="8"/>
        <v>0</v>
      </c>
      <c r="Q36" s="4">
        <f t="shared" si="9"/>
        <v>0</v>
      </c>
      <c r="R36" s="4">
        <f t="shared" si="10"/>
        <v>0</v>
      </c>
      <c r="S36" s="4">
        <f t="shared" si="11"/>
        <v>0</v>
      </c>
      <c r="T36" s="5" t="str">
        <f t="shared" si="12"/>
        <v/>
      </c>
      <c r="U36" t="str">
        <f t="shared" si="13"/>
        <v/>
      </c>
    </row>
    <row r="37" spans="11:21">
      <c r="K37" s="6" t="s">
        <v>11</v>
      </c>
      <c r="L37">
        <f>COUNTIF($J$2:$J$35,"&gt;0")</f>
        <v>0</v>
      </c>
      <c r="N37">
        <f t="shared" si="6"/>
        <v>0</v>
      </c>
      <c r="O37" s="3">
        <f t="shared" si="7"/>
        <v>36540</v>
      </c>
      <c r="P37" s="4">
        <f t="shared" si="8"/>
        <v>0</v>
      </c>
      <c r="Q37" s="4">
        <f t="shared" si="9"/>
        <v>0</v>
      </c>
      <c r="R37" s="4">
        <f t="shared" si="10"/>
        <v>0</v>
      </c>
      <c r="S37" s="4">
        <f t="shared" si="11"/>
        <v>0</v>
      </c>
      <c r="T37" s="5" t="str">
        <f t="shared" si="12"/>
        <v/>
      </c>
      <c r="U37" t="str">
        <f t="shared" si="13"/>
        <v/>
      </c>
    </row>
    <row r="38" spans="11:21">
      <c r="O38" s="3"/>
      <c r="P38" s="4"/>
      <c r="Q38" s="4"/>
      <c r="R38" s="4"/>
      <c r="S38" s="4"/>
      <c r="T38" s="5"/>
    </row>
  </sheetData>
  <phoneticPr fontId="1"/>
  <conditionalFormatting sqref="H2:M32 T7:T38">
    <cfRule type="cellIs" dxfId="1" priority="2" stopIfTrue="1" operator="equal">
      <formula>0</formula>
    </cfRule>
  </conditionalFormatting>
  <dataValidations count="1">
    <dataValidation type="list" allowBlank="1" showInputMessage="1" showErrorMessage="1" sqref="U38" xr:uid="{B4BEC4E9-EEF4-064A-B2F4-5538A9FF295C}">
      <formula1>"有給, 早退, 遅刻, 欠勤, AM有給, PM有給, 休憩なし"</formula1>
    </dataValidation>
  </dataValidations>
  <pageMargins left="0.7" right="0.7" top="0.75" bottom="0.75" header="0.3" footer="0.3"/>
  <pageSetup paperSize="9" scale="34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618CD-AFFE-E545-9093-9F6BCCF003D5}">
  <sheetPr codeName="Sheet3">
    <pageSetUpPr fitToPage="1"/>
  </sheetPr>
  <dimension ref="A1:T38"/>
  <sheetViews>
    <sheetView tabSelected="1" workbookViewId="0">
      <selection activeCell="T7" sqref="T7:T37"/>
    </sheetView>
  </sheetViews>
  <sheetFormatPr baseColWidth="10" defaultRowHeight="18"/>
  <cols>
    <col min="1" max="1" width="17.1640625" bestFit="1" customWidth="1"/>
    <col min="2" max="5" width="6.6640625" bestFit="1" customWidth="1"/>
    <col min="6" max="6" width="7.5" bestFit="1" customWidth="1"/>
    <col min="10" max="10" width="15" bestFit="1" customWidth="1"/>
    <col min="11" max="11" width="14.33203125" bestFit="1" customWidth="1"/>
    <col min="12" max="12" width="15.83203125" bestFit="1" customWidth="1"/>
    <col min="14" max="14" width="17.1640625" bestFit="1" customWidth="1"/>
    <col min="15" max="15" width="13" bestFit="1" customWidth="1"/>
  </cols>
  <sheetData>
    <row r="1" spans="1:20" ht="3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17</v>
      </c>
      <c r="H1" s="6" t="s">
        <v>5</v>
      </c>
      <c r="I1" t="s">
        <v>5</v>
      </c>
      <c r="J1" t="s">
        <v>6</v>
      </c>
      <c r="K1" t="s">
        <v>7</v>
      </c>
      <c r="L1" t="s">
        <v>8</v>
      </c>
      <c r="O1" s="1">
        <f>year</f>
        <v>2000</v>
      </c>
      <c r="P1" s="1" t="s">
        <v>25</v>
      </c>
      <c r="Q1" s="1">
        <f>month</f>
        <v>1</v>
      </c>
      <c r="R1" s="1" t="s">
        <v>14</v>
      </c>
      <c r="S1" t="s">
        <v>15</v>
      </c>
      <c r="T1" t="str" cm="1">
        <f t="array" aca="1" ref="T1" ca="1">MID(CELL("filename", A1), FIND("]", CELL("filename", A1)) + 1, LEN(CELL("filename", A1)) - FIND("]", CELL("filename", A1)))</f>
        <v>ドクター</v>
      </c>
    </row>
    <row r="2" spans="1:20">
      <c r="B2" s="4"/>
      <c r="C2" s="4"/>
      <c r="D2" s="4"/>
      <c r="E2" s="4"/>
      <c r="F2" s="4"/>
      <c r="H2" s="5">
        <f t="shared" ref="H2:H33" si="0">IFERROR(CEILING(B2, "0:30"), 0)</f>
        <v>0</v>
      </c>
      <c r="I2" s="5">
        <f t="shared" ref="I2:I33" si="1">IFERROR(CEILING(D2, "0:30"), 0)</f>
        <v>0</v>
      </c>
      <c r="J2" s="5">
        <f t="shared" ref="J2:J33" si="2">IFERROR(C2-H2, 0) + IFERROR(E2 - I2, 0)</f>
        <v>0</v>
      </c>
      <c r="K2" s="5">
        <f t="shared" ref="K2:K30" si="3">MIN("8:00", J2)</f>
        <v>0</v>
      </c>
      <c r="L2" s="5">
        <f t="shared" ref="L2:L30" si="4">MAX("8:00", J2) - "8:00"</f>
        <v>0</v>
      </c>
      <c r="M2" s="5"/>
    </row>
    <row r="3" spans="1:20">
      <c r="B3" s="4"/>
      <c r="C3" s="4"/>
      <c r="H3" s="5">
        <f t="shared" si="0"/>
        <v>0</v>
      </c>
      <c r="I3" s="5">
        <f t="shared" si="1"/>
        <v>0</v>
      </c>
      <c r="J3" s="5">
        <f t="shared" si="2"/>
        <v>0</v>
      </c>
      <c r="K3" s="5">
        <f t="shared" si="3"/>
        <v>0</v>
      </c>
      <c r="L3" s="5">
        <f t="shared" si="4"/>
        <v>0</v>
      </c>
      <c r="M3" s="5"/>
      <c r="O3" s="13" t="s">
        <v>11</v>
      </c>
      <c r="P3">
        <f>L37</f>
        <v>0</v>
      </c>
      <c r="Q3" t="s">
        <v>13</v>
      </c>
    </row>
    <row r="4" spans="1:20">
      <c r="B4" s="4"/>
      <c r="C4" s="4"/>
      <c r="H4" s="5">
        <f t="shared" si="0"/>
        <v>0</v>
      </c>
      <c r="I4" s="5">
        <f t="shared" si="1"/>
        <v>0</v>
      </c>
      <c r="J4" s="5">
        <f t="shared" si="2"/>
        <v>0</v>
      </c>
      <c r="K4" s="5">
        <f t="shared" si="3"/>
        <v>0</v>
      </c>
      <c r="L4" s="5">
        <f t="shared" si="4"/>
        <v>0</v>
      </c>
      <c r="M4" s="5"/>
      <c r="O4" s="13" t="s">
        <v>10</v>
      </c>
      <c r="P4">
        <f>COUNTIF(T7:T40, "=有給")+COUNTIF(T7:T40, "=AM有給")*0.5 + COUNTIF(T7:T40, "PM有給")*0.5</f>
        <v>0</v>
      </c>
      <c r="Q4" t="s">
        <v>13</v>
      </c>
      <c r="R4" s="15"/>
    </row>
    <row r="5" spans="1:20">
      <c r="B5" s="4"/>
      <c r="C5" s="4"/>
      <c r="H5" s="5">
        <f t="shared" si="0"/>
        <v>0</v>
      </c>
      <c r="I5" s="5">
        <f t="shared" si="1"/>
        <v>0</v>
      </c>
      <c r="J5" s="5">
        <f t="shared" si="2"/>
        <v>0</v>
      </c>
      <c r="K5" s="5">
        <f t="shared" si="3"/>
        <v>0</v>
      </c>
      <c r="L5" s="5">
        <f t="shared" si="4"/>
        <v>0</v>
      </c>
      <c r="M5" s="5"/>
    </row>
    <row r="6" spans="1:20">
      <c r="B6" s="4"/>
      <c r="C6" s="4"/>
      <c r="E6" s="4"/>
      <c r="F6" s="4"/>
      <c r="H6" s="5">
        <f t="shared" si="0"/>
        <v>0</v>
      </c>
      <c r="I6" s="5">
        <f t="shared" si="1"/>
        <v>0</v>
      </c>
      <c r="J6" s="5">
        <f t="shared" si="2"/>
        <v>0</v>
      </c>
      <c r="K6" s="5">
        <f t="shared" si="3"/>
        <v>0</v>
      </c>
      <c r="L6" s="5">
        <f t="shared" si="4"/>
        <v>0</v>
      </c>
      <c r="M6" s="5"/>
      <c r="N6" t="s">
        <v>22</v>
      </c>
      <c r="P6" t="s">
        <v>20</v>
      </c>
      <c r="Q6" t="s">
        <v>21</v>
      </c>
      <c r="R6" t="s">
        <v>20</v>
      </c>
      <c r="S6" t="s">
        <v>21</v>
      </c>
      <c r="T6" t="s">
        <v>17</v>
      </c>
    </row>
    <row r="7" spans="1:20">
      <c r="H7" s="5">
        <f t="shared" si="0"/>
        <v>0</v>
      </c>
      <c r="I7" s="5">
        <f t="shared" si="1"/>
        <v>0</v>
      </c>
      <c r="J7" s="5">
        <f t="shared" si="2"/>
        <v>0</v>
      </c>
      <c r="K7" s="5">
        <f t="shared" si="3"/>
        <v>0</v>
      </c>
      <c r="L7" s="5">
        <f t="shared" si="4"/>
        <v>0</v>
      </c>
      <c r="M7" s="5"/>
      <c r="N7">
        <f t="shared" ref="N7:N37" si="5">A2</f>
        <v>0</v>
      </c>
      <c r="O7" s="3">
        <f t="shared" ref="O7:O37" si="6">DATE($O$1, $Q$1-1, 16 + ROW()-7)</f>
        <v>36510</v>
      </c>
      <c r="P7" s="4">
        <f t="shared" ref="P7:P34" si="7">B2</f>
        <v>0</v>
      </c>
      <c r="Q7" s="4">
        <f t="shared" ref="Q7:Q34" si="8">C2</f>
        <v>0</v>
      </c>
      <c r="R7" s="4">
        <f t="shared" ref="R7:R34" si="9">D2</f>
        <v>0</v>
      </c>
      <c r="S7" s="4">
        <f t="shared" ref="S7:S34" si="10">E2</f>
        <v>0</v>
      </c>
      <c r="T7" t="str">
        <f>IF(G2="", "", G2)</f>
        <v/>
      </c>
    </row>
    <row r="8" spans="1:20">
      <c r="H8" s="5">
        <f t="shared" si="0"/>
        <v>0</v>
      </c>
      <c r="I8" s="5">
        <f t="shared" si="1"/>
        <v>0</v>
      </c>
      <c r="J8" s="5">
        <f t="shared" si="2"/>
        <v>0</v>
      </c>
      <c r="K8" s="5">
        <f t="shared" si="3"/>
        <v>0</v>
      </c>
      <c r="L8" s="5">
        <f t="shared" si="4"/>
        <v>0</v>
      </c>
      <c r="M8" s="5"/>
      <c r="N8">
        <f t="shared" si="5"/>
        <v>0</v>
      </c>
      <c r="O8" s="3">
        <f t="shared" si="6"/>
        <v>36511</v>
      </c>
      <c r="P8" s="4">
        <f t="shared" si="7"/>
        <v>0</v>
      </c>
      <c r="Q8" s="4">
        <f t="shared" si="8"/>
        <v>0</v>
      </c>
      <c r="R8" s="4">
        <f t="shared" si="9"/>
        <v>0</v>
      </c>
      <c r="S8" s="4">
        <f t="shared" si="10"/>
        <v>0</v>
      </c>
      <c r="T8" t="str">
        <f t="shared" ref="T8:T37" si="11">IF(G3="", "", G3)</f>
        <v/>
      </c>
    </row>
    <row r="9" spans="1:20">
      <c r="B9" s="4"/>
      <c r="C9" s="4"/>
      <c r="D9" s="4"/>
      <c r="E9" s="4"/>
      <c r="F9" s="4"/>
      <c r="H9" s="5">
        <f t="shared" si="0"/>
        <v>0</v>
      </c>
      <c r="I9" s="5">
        <f t="shared" si="1"/>
        <v>0</v>
      </c>
      <c r="J9" s="5">
        <f t="shared" si="2"/>
        <v>0</v>
      </c>
      <c r="K9" s="5">
        <f t="shared" si="3"/>
        <v>0</v>
      </c>
      <c r="L9" s="5">
        <f t="shared" si="4"/>
        <v>0</v>
      </c>
      <c r="M9" s="5"/>
      <c r="N9">
        <f t="shared" si="5"/>
        <v>0</v>
      </c>
      <c r="O9" s="3">
        <f t="shared" si="6"/>
        <v>36512</v>
      </c>
      <c r="P9" s="4">
        <f t="shared" si="7"/>
        <v>0</v>
      </c>
      <c r="Q9" s="4">
        <f t="shared" si="8"/>
        <v>0</v>
      </c>
      <c r="R9" s="4">
        <f t="shared" si="9"/>
        <v>0</v>
      </c>
      <c r="S9" s="4">
        <f t="shared" si="10"/>
        <v>0</v>
      </c>
      <c r="T9" t="str">
        <f t="shared" si="11"/>
        <v/>
      </c>
    </row>
    <row r="10" spans="1:20">
      <c r="B10" s="4"/>
      <c r="C10" s="4"/>
      <c r="H10" s="5">
        <f t="shared" si="0"/>
        <v>0</v>
      </c>
      <c r="I10" s="5">
        <f t="shared" si="1"/>
        <v>0</v>
      </c>
      <c r="J10" s="5">
        <f t="shared" si="2"/>
        <v>0</v>
      </c>
      <c r="K10" s="5">
        <f t="shared" si="3"/>
        <v>0</v>
      </c>
      <c r="L10" s="5">
        <f t="shared" si="4"/>
        <v>0</v>
      </c>
      <c r="M10" s="5"/>
      <c r="N10">
        <f t="shared" si="5"/>
        <v>0</v>
      </c>
      <c r="O10" s="3">
        <f t="shared" si="6"/>
        <v>36513</v>
      </c>
      <c r="P10" s="4">
        <f t="shared" si="7"/>
        <v>0</v>
      </c>
      <c r="Q10" s="4">
        <f t="shared" si="8"/>
        <v>0</v>
      </c>
      <c r="R10" s="4">
        <f t="shared" si="9"/>
        <v>0</v>
      </c>
      <c r="S10" s="4">
        <f t="shared" si="10"/>
        <v>0</v>
      </c>
      <c r="T10" t="str">
        <f t="shared" si="11"/>
        <v/>
      </c>
    </row>
    <row r="11" spans="1:20">
      <c r="B11" s="4"/>
      <c r="C11" s="4"/>
      <c r="H11" s="5">
        <f t="shared" si="0"/>
        <v>0</v>
      </c>
      <c r="I11" s="5">
        <f t="shared" si="1"/>
        <v>0</v>
      </c>
      <c r="J11" s="5">
        <f t="shared" si="2"/>
        <v>0</v>
      </c>
      <c r="K11" s="5">
        <f t="shared" si="3"/>
        <v>0</v>
      </c>
      <c r="L11" s="5">
        <f t="shared" si="4"/>
        <v>0</v>
      </c>
      <c r="M11" s="5"/>
      <c r="N11">
        <f t="shared" si="5"/>
        <v>0</v>
      </c>
      <c r="O11" s="3">
        <f t="shared" si="6"/>
        <v>36514</v>
      </c>
      <c r="P11" s="4">
        <f t="shared" si="7"/>
        <v>0</v>
      </c>
      <c r="Q11" s="4">
        <f t="shared" si="8"/>
        <v>0</v>
      </c>
      <c r="R11" s="4">
        <f t="shared" si="9"/>
        <v>0</v>
      </c>
      <c r="S11" s="4">
        <f t="shared" si="10"/>
        <v>0</v>
      </c>
      <c r="T11" t="str">
        <f t="shared" si="11"/>
        <v/>
      </c>
    </row>
    <row r="12" spans="1:20">
      <c r="B12" s="4"/>
      <c r="C12" s="4"/>
      <c r="H12" s="5">
        <f t="shared" si="0"/>
        <v>0</v>
      </c>
      <c r="I12" s="5">
        <f t="shared" si="1"/>
        <v>0</v>
      </c>
      <c r="J12" s="5">
        <f t="shared" si="2"/>
        <v>0</v>
      </c>
      <c r="K12" s="5">
        <f t="shared" si="3"/>
        <v>0</v>
      </c>
      <c r="L12" s="5">
        <f t="shared" si="4"/>
        <v>0</v>
      </c>
      <c r="M12" s="5"/>
      <c r="N12">
        <f t="shared" si="5"/>
        <v>0</v>
      </c>
      <c r="O12" s="3">
        <f t="shared" si="6"/>
        <v>36515</v>
      </c>
      <c r="P12" s="4">
        <f t="shared" si="7"/>
        <v>0</v>
      </c>
      <c r="Q12" s="4">
        <f t="shared" si="8"/>
        <v>0</v>
      </c>
      <c r="R12" s="4">
        <f t="shared" si="9"/>
        <v>0</v>
      </c>
      <c r="S12" s="4">
        <f t="shared" si="10"/>
        <v>0</v>
      </c>
      <c r="T12" t="str">
        <f t="shared" si="11"/>
        <v/>
      </c>
    </row>
    <row r="13" spans="1:20">
      <c r="B13" s="4"/>
      <c r="C13" s="4"/>
      <c r="D13" s="4"/>
      <c r="E13" s="4"/>
      <c r="F13" s="4"/>
      <c r="H13" s="5">
        <f t="shared" si="0"/>
        <v>0</v>
      </c>
      <c r="I13" s="5">
        <f t="shared" si="1"/>
        <v>0</v>
      </c>
      <c r="J13" s="5">
        <f t="shared" si="2"/>
        <v>0</v>
      </c>
      <c r="K13" s="5">
        <f t="shared" si="3"/>
        <v>0</v>
      </c>
      <c r="L13" s="5">
        <f t="shared" si="4"/>
        <v>0</v>
      </c>
      <c r="M13" s="5"/>
      <c r="N13">
        <f t="shared" si="5"/>
        <v>0</v>
      </c>
      <c r="O13" s="3">
        <f t="shared" si="6"/>
        <v>36516</v>
      </c>
      <c r="P13" s="4">
        <f t="shared" si="7"/>
        <v>0</v>
      </c>
      <c r="Q13" s="4">
        <f t="shared" si="8"/>
        <v>0</v>
      </c>
      <c r="R13" s="4">
        <f t="shared" si="9"/>
        <v>0</v>
      </c>
      <c r="S13" s="4">
        <f t="shared" si="10"/>
        <v>0</v>
      </c>
      <c r="T13" t="str">
        <f t="shared" si="11"/>
        <v/>
      </c>
    </row>
    <row r="14" spans="1:20">
      <c r="B14" s="4"/>
      <c r="C14" s="4"/>
      <c r="H14" s="5">
        <f t="shared" si="0"/>
        <v>0</v>
      </c>
      <c r="I14" s="5">
        <f t="shared" si="1"/>
        <v>0</v>
      </c>
      <c r="J14" s="5">
        <f t="shared" si="2"/>
        <v>0</v>
      </c>
      <c r="K14" s="5">
        <f t="shared" si="3"/>
        <v>0</v>
      </c>
      <c r="L14" s="5">
        <f t="shared" si="4"/>
        <v>0</v>
      </c>
      <c r="M14" s="5"/>
      <c r="N14">
        <f t="shared" si="5"/>
        <v>0</v>
      </c>
      <c r="O14" s="3">
        <f t="shared" si="6"/>
        <v>36517</v>
      </c>
      <c r="P14" s="4">
        <f t="shared" si="7"/>
        <v>0</v>
      </c>
      <c r="Q14" s="4">
        <f t="shared" si="8"/>
        <v>0</v>
      </c>
      <c r="R14" s="4">
        <f t="shared" si="9"/>
        <v>0</v>
      </c>
      <c r="S14" s="4">
        <f t="shared" si="10"/>
        <v>0</v>
      </c>
      <c r="T14" t="str">
        <f t="shared" si="11"/>
        <v/>
      </c>
    </row>
    <row r="15" spans="1:20">
      <c r="H15" s="5">
        <f t="shared" si="0"/>
        <v>0</v>
      </c>
      <c r="I15" s="5">
        <f t="shared" si="1"/>
        <v>0</v>
      </c>
      <c r="J15" s="5">
        <f t="shared" si="2"/>
        <v>0</v>
      </c>
      <c r="K15" s="5">
        <f t="shared" si="3"/>
        <v>0</v>
      </c>
      <c r="L15" s="5">
        <f t="shared" si="4"/>
        <v>0</v>
      </c>
      <c r="M15" s="5"/>
      <c r="N15">
        <f t="shared" si="5"/>
        <v>0</v>
      </c>
      <c r="O15" s="3">
        <f t="shared" si="6"/>
        <v>36518</v>
      </c>
      <c r="P15" s="4">
        <f t="shared" si="7"/>
        <v>0</v>
      </c>
      <c r="Q15" s="4">
        <f t="shared" si="8"/>
        <v>0</v>
      </c>
      <c r="R15" s="4">
        <f t="shared" si="9"/>
        <v>0</v>
      </c>
      <c r="S15" s="4">
        <f t="shared" si="10"/>
        <v>0</v>
      </c>
      <c r="T15" t="str">
        <f t="shared" si="11"/>
        <v/>
      </c>
    </row>
    <row r="16" spans="1:20">
      <c r="H16" s="5">
        <f t="shared" si="0"/>
        <v>0</v>
      </c>
      <c r="I16" s="5">
        <f t="shared" si="1"/>
        <v>0</v>
      </c>
      <c r="J16" s="5">
        <f t="shared" si="2"/>
        <v>0</v>
      </c>
      <c r="K16" s="5">
        <f t="shared" si="3"/>
        <v>0</v>
      </c>
      <c r="L16" s="5">
        <f t="shared" si="4"/>
        <v>0</v>
      </c>
      <c r="M16" s="5"/>
      <c r="N16">
        <f t="shared" si="5"/>
        <v>0</v>
      </c>
      <c r="O16" s="3">
        <f t="shared" si="6"/>
        <v>36519</v>
      </c>
      <c r="P16" s="4">
        <f t="shared" si="7"/>
        <v>0</v>
      </c>
      <c r="Q16" s="4">
        <f t="shared" si="8"/>
        <v>0</v>
      </c>
      <c r="R16" s="4">
        <f t="shared" si="9"/>
        <v>0</v>
      </c>
      <c r="S16" s="4">
        <f t="shared" si="10"/>
        <v>0</v>
      </c>
      <c r="T16" t="str">
        <f t="shared" si="11"/>
        <v/>
      </c>
    </row>
    <row r="17" spans="2:20">
      <c r="H17" s="5">
        <f t="shared" si="0"/>
        <v>0</v>
      </c>
      <c r="I17" s="5">
        <f t="shared" si="1"/>
        <v>0</v>
      </c>
      <c r="J17" s="5">
        <f t="shared" si="2"/>
        <v>0</v>
      </c>
      <c r="K17" s="5">
        <f t="shared" si="3"/>
        <v>0</v>
      </c>
      <c r="L17" s="5">
        <f t="shared" si="4"/>
        <v>0</v>
      </c>
      <c r="M17" s="5"/>
      <c r="N17">
        <f t="shared" si="5"/>
        <v>0</v>
      </c>
      <c r="O17" s="3">
        <f t="shared" si="6"/>
        <v>36520</v>
      </c>
      <c r="P17" s="4">
        <f t="shared" si="7"/>
        <v>0</v>
      </c>
      <c r="Q17" s="4">
        <f t="shared" si="8"/>
        <v>0</v>
      </c>
      <c r="R17" s="4">
        <f t="shared" si="9"/>
        <v>0</v>
      </c>
      <c r="S17" s="4">
        <f t="shared" si="10"/>
        <v>0</v>
      </c>
      <c r="T17" t="str">
        <f t="shared" si="11"/>
        <v/>
      </c>
    </row>
    <row r="18" spans="2:20">
      <c r="H18" s="5">
        <f t="shared" si="0"/>
        <v>0</v>
      </c>
      <c r="I18" s="5">
        <f t="shared" si="1"/>
        <v>0</v>
      </c>
      <c r="J18" s="5">
        <f t="shared" si="2"/>
        <v>0</v>
      </c>
      <c r="K18" s="5">
        <f t="shared" si="3"/>
        <v>0</v>
      </c>
      <c r="L18" s="5">
        <f t="shared" si="4"/>
        <v>0</v>
      </c>
      <c r="M18" s="5"/>
      <c r="N18">
        <f t="shared" si="5"/>
        <v>0</v>
      </c>
      <c r="O18" s="3">
        <f t="shared" si="6"/>
        <v>36521</v>
      </c>
      <c r="P18" s="4">
        <f t="shared" si="7"/>
        <v>0</v>
      </c>
      <c r="Q18" s="4">
        <f t="shared" si="8"/>
        <v>0</v>
      </c>
      <c r="R18" s="4">
        <f t="shared" si="9"/>
        <v>0</v>
      </c>
      <c r="S18" s="4">
        <f t="shared" si="10"/>
        <v>0</v>
      </c>
      <c r="T18" t="str">
        <f t="shared" si="11"/>
        <v/>
      </c>
    </row>
    <row r="19" spans="2:20">
      <c r="H19" s="5">
        <f t="shared" si="0"/>
        <v>0</v>
      </c>
      <c r="I19" s="5">
        <f t="shared" si="1"/>
        <v>0</v>
      </c>
      <c r="J19" s="5">
        <f t="shared" si="2"/>
        <v>0</v>
      </c>
      <c r="K19" s="5">
        <f t="shared" si="3"/>
        <v>0</v>
      </c>
      <c r="L19" s="5">
        <f t="shared" si="4"/>
        <v>0</v>
      </c>
      <c r="M19" s="5"/>
      <c r="N19">
        <f t="shared" si="5"/>
        <v>0</v>
      </c>
      <c r="O19" s="3">
        <f t="shared" si="6"/>
        <v>36522</v>
      </c>
      <c r="P19" s="4">
        <f t="shared" si="7"/>
        <v>0</v>
      </c>
      <c r="Q19" s="4">
        <f t="shared" si="8"/>
        <v>0</v>
      </c>
      <c r="R19" s="4">
        <f t="shared" si="9"/>
        <v>0</v>
      </c>
      <c r="S19" s="4">
        <f t="shared" si="10"/>
        <v>0</v>
      </c>
      <c r="T19" t="str">
        <f t="shared" si="11"/>
        <v/>
      </c>
    </row>
    <row r="20" spans="2:20">
      <c r="H20" s="5">
        <f t="shared" si="0"/>
        <v>0</v>
      </c>
      <c r="I20" s="5">
        <f t="shared" si="1"/>
        <v>0</v>
      </c>
      <c r="J20" s="5">
        <f t="shared" si="2"/>
        <v>0</v>
      </c>
      <c r="K20" s="5">
        <f t="shared" si="3"/>
        <v>0</v>
      </c>
      <c r="L20" s="5">
        <f t="shared" si="4"/>
        <v>0</v>
      </c>
      <c r="M20" s="5"/>
      <c r="N20">
        <f t="shared" si="5"/>
        <v>0</v>
      </c>
      <c r="O20" s="3">
        <f t="shared" si="6"/>
        <v>36523</v>
      </c>
      <c r="P20" s="4">
        <f t="shared" si="7"/>
        <v>0</v>
      </c>
      <c r="Q20" s="4">
        <f t="shared" si="8"/>
        <v>0</v>
      </c>
      <c r="R20" s="4">
        <f t="shared" si="9"/>
        <v>0</v>
      </c>
      <c r="S20" s="4">
        <f t="shared" si="10"/>
        <v>0</v>
      </c>
      <c r="T20" t="str">
        <f t="shared" si="11"/>
        <v/>
      </c>
    </row>
    <row r="21" spans="2:20">
      <c r="H21" s="5">
        <f t="shared" si="0"/>
        <v>0</v>
      </c>
      <c r="I21" s="5">
        <f t="shared" si="1"/>
        <v>0</v>
      </c>
      <c r="J21" s="5">
        <f t="shared" si="2"/>
        <v>0</v>
      </c>
      <c r="K21" s="5">
        <f t="shared" si="3"/>
        <v>0</v>
      </c>
      <c r="L21" s="5">
        <f t="shared" si="4"/>
        <v>0</v>
      </c>
      <c r="M21" s="5"/>
      <c r="N21">
        <f t="shared" si="5"/>
        <v>0</v>
      </c>
      <c r="O21" s="3">
        <f t="shared" si="6"/>
        <v>36524</v>
      </c>
      <c r="P21" s="4">
        <f t="shared" si="7"/>
        <v>0</v>
      </c>
      <c r="Q21" s="4">
        <f t="shared" si="8"/>
        <v>0</v>
      </c>
      <c r="R21" s="4">
        <f t="shared" si="9"/>
        <v>0</v>
      </c>
      <c r="S21" s="4">
        <f t="shared" si="10"/>
        <v>0</v>
      </c>
      <c r="T21" t="str">
        <f t="shared" si="11"/>
        <v/>
      </c>
    </row>
    <row r="22" spans="2:20">
      <c r="H22" s="5">
        <f t="shared" si="0"/>
        <v>0</v>
      </c>
      <c r="I22" s="5">
        <f t="shared" si="1"/>
        <v>0</v>
      </c>
      <c r="J22" s="5">
        <f t="shared" si="2"/>
        <v>0</v>
      </c>
      <c r="K22" s="5">
        <f t="shared" si="3"/>
        <v>0</v>
      </c>
      <c r="L22" s="5">
        <f t="shared" si="4"/>
        <v>0</v>
      </c>
      <c r="M22" s="5"/>
      <c r="N22">
        <f t="shared" si="5"/>
        <v>0</v>
      </c>
      <c r="O22" s="3">
        <f t="shared" si="6"/>
        <v>36525</v>
      </c>
      <c r="P22" s="4">
        <f t="shared" si="7"/>
        <v>0</v>
      </c>
      <c r="Q22" s="4">
        <f t="shared" si="8"/>
        <v>0</v>
      </c>
      <c r="R22" s="4">
        <f t="shared" si="9"/>
        <v>0</v>
      </c>
      <c r="S22" s="4">
        <f t="shared" si="10"/>
        <v>0</v>
      </c>
      <c r="T22" t="str">
        <f t="shared" si="11"/>
        <v/>
      </c>
    </row>
    <row r="23" spans="2:20">
      <c r="B23" s="4"/>
      <c r="C23" s="4"/>
      <c r="E23" s="4"/>
      <c r="F23" s="4"/>
      <c r="H23" s="5">
        <f t="shared" si="0"/>
        <v>0</v>
      </c>
      <c r="I23" s="5">
        <f t="shared" si="1"/>
        <v>0</v>
      </c>
      <c r="J23" s="5">
        <f t="shared" si="2"/>
        <v>0</v>
      </c>
      <c r="K23" s="5">
        <f t="shared" si="3"/>
        <v>0</v>
      </c>
      <c r="L23" s="5">
        <f t="shared" si="4"/>
        <v>0</v>
      </c>
      <c r="M23" s="5"/>
      <c r="N23">
        <f t="shared" si="5"/>
        <v>0</v>
      </c>
      <c r="O23" s="3">
        <f t="shared" si="6"/>
        <v>36526</v>
      </c>
      <c r="P23" s="4">
        <f t="shared" si="7"/>
        <v>0</v>
      </c>
      <c r="Q23" s="4">
        <f t="shared" si="8"/>
        <v>0</v>
      </c>
      <c r="R23" s="4">
        <f t="shared" si="9"/>
        <v>0</v>
      </c>
      <c r="S23" s="4">
        <f t="shared" si="10"/>
        <v>0</v>
      </c>
      <c r="T23" t="str">
        <f t="shared" si="11"/>
        <v/>
      </c>
    </row>
    <row r="24" spans="2:20">
      <c r="B24" s="4"/>
      <c r="C24" s="4"/>
      <c r="H24" s="5">
        <f t="shared" si="0"/>
        <v>0</v>
      </c>
      <c r="I24" s="5">
        <f t="shared" si="1"/>
        <v>0</v>
      </c>
      <c r="J24" s="5">
        <f t="shared" si="2"/>
        <v>0</v>
      </c>
      <c r="K24" s="5">
        <f t="shared" si="3"/>
        <v>0</v>
      </c>
      <c r="L24" s="5">
        <f t="shared" si="4"/>
        <v>0</v>
      </c>
      <c r="M24" s="5"/>
      <c r="N24">
        <f t="shared" si="5"/>
        <v>0</v>
      </c>
      <c r="O24" s="3">
        <f t="shared" si="6"/>
        <v>36527</v>
      </c>
      <c r="P24" s="4">
        <f t="shared" si="7"/>
        <v>0</v>
      </c>
      <c r="Q24" s="4">
        <f t="shared" si="8"/>
        <v>0</v>
      </c>
      <c r="R24" s="4">
        <f t="shared" si="9"/>
        <v>0</v>
      </c>
      <c r="S24" s="4">
        <f t="shared" si="10"/>
        <v>0</v>
      </c>
      <c r="T24" t="str">
        <f t="shared" si="11"/>
        <v/>
      </c>
    </row>
    <row r="25" spans="2:20">
      <c r="B25" s="4"/>
      <c r="C25" s="4"/>
      <c r="H25" s="5">
        <f t="shared" si="0"/>
        <v>0</v>
      </c>
      <c r="I25" s="5">
        <f t="shared" si="1"/>
        <v>0</v>
      </c>
      <c r="J25" s="5">
        <f t="shared" si="2"/>
        <v>0</v>
      </c>
      <c r="K25" s="5">
        <f t="shared" si="3"/>
        <v>0</v>
      </c>
      <c r="L25" s="5">
        <f t="shared" si="4"/>
        <v>0</v>
      </c>
      <c r="M25" s="5"/>
      <c r="N25">
        <f t="shared" si="5"/>
        <v>0</v>
      </c>
      <c r="O25" s="3">
        <f t="shared" si="6"/>
        <v>36528</v>
      </c>
      <c r="P25" s="4">
        <f t="shared" si="7"/>
        <v>0</v>
      </c>
      <c r="Q25" s="4">
        <f t="shared" si="8"/>
        <v>0</v>
      </c>
      <c r="R25" s="4">
        <f t="shared" si="9"/>
        <v>0</v>
      </c>
      <c r="S25" s="4">
        <f t="shared" si="10"/>
        <v>0</v>
      </c>
      <c r="T25" t="str">
        <f t="shared" si="11"/>
        <v/>
      </c>
    </row>
    <row r="26" spans="2:20">
      <c r="B26" s="4"/>
      <c r="C26" s="4"/>
      <c r="H26" s="5">
        <f t="shared" si="0"/>
        <v>0</v>
      </c>
      <c r="I26" s="5">
        <f t="shared" si="1"/>
        <v>0</v>
      </c>
      <c r="J26" s="5">
        <f t="shared" si="2"/>
        <v>0</v>
      </c>
      <c r="K26" s="5">
        <f t="shared" si="3"/>
        <v>0</v>
      </c>
      <c r="L26" s="5">
        <f t="shared" si="4"/>
        <v>0</v>
      </c>
      <c r="M26" s="5"/>
      <c r="N26">
        <f t="shared" si="5"/>
        <v>0</v>
      </c>
      <c r="O26" s="3">
        <f t="shared" si="6"/>
        <v>36529</v>
      </c>
      <c r="P26" s="4">
        <f t="shared" si="7"/>
        <v>0</v>
      </c>
      <c r="Q26" s="4">
        <f t="shared" si="8"/>
        <v>0</v>
      </c>
      <c r="R26" s="4">
        <f t="shared" si="9"/>
        <v>0</v>
      </c>
      <c r="S26" s="4">
        <f t="shared" si="10"/>
        <v>0</v>
      </c>
      <c r="T26" t="str">
        <f t="shared" si="11"/>
        <v/>
      </c>
    </row>
    <row r="27" spans="2:20">
      <c r="B27" s="4"/>
      <c r="C27" s="4"/>
      <c r="H27" s="5">
        <f t="shared" si="0"/>
        <v>0</v>
      </c>
      <c r="I27" s="5">
        <f t="shared" si="1"/>
        <v>0</v>
      </c>
      <c r="J27" s="5">
        <f t="shared" si="2"/>
        <v>0</v>
      </c>
      <c r="K27" s="5">
        <f t="shared" si="3"/>
        <v>0</v>
      </c>
      <c r="L27" s="5">
        <f t="shared" si="4"/>
        <v>0</v>
      </c>
      <c r="M27" s="5"/>
      <c r="N27">
        <f t="shared" si="5"/>
        <v>0</v>
      </c>
      <c r="O27" s="3">
        <f t="shared" si="6"/>
        <v>36530</v>
      </c>
      <c r="P27" s="4">
        <f t="shared" si="7"/>
        <v>0</v>
      </c>
      <c r="Q27" s="4">
        <f t="shared" si="8"/>
        <v>0</v>
      </c>
      <c r="R27" s="4">
        <f t="shared" si="9"/>
        <v>0</v>
      </c>
      <c r="S27" s="4">
        <f t="shared" si="10"/>
        <v>0</v>
      </c>
      <c r="T27" t="str">
        <f t="shared" si="11"/>
        <v/>
      </c>
    </row>
    <row r="28" spans="2:20">
      <c r="H28" s="5">
        <f t="shared" si="0"/>
        <v>0</v>
      </c>
      <c r="I28" s="5">
        <f t="shared" si="1"/>
        <v>0</v>
      </c>
      <c r="J28" s="5">
        <f t="shared" si="2"/>
        <v>0</v>
      </c>
      <c r="K28" s="5">
        <f t="shared" si="3"/>
        <v>0</v>
      </c>
      <c r="L28" s="5">
        <f t="shared" si="4"/>
        <v>0</v>
      </c>
      <c r="M28" s="5"/>
      <c r="N28">
        <f t="shared" si="5"/>
        <v>0</v>
      </c>
      <c r="O28" s="3">
        <f t="shared" si="6"/>
        <v>36531</v>
      </c>
      <c r="P28" s="4">
        <f t="shared" si="7"/>
        <v>0</v>
      </c>
      <c r="Q28" s="4">
        <f t="shared" si="8"/>
        <v>0</v>
      </c>
      <c r="R28" s="4">
        <f t="shared" si="9"/>
        <v>0</v>
      </c>
      <c r="S28" s="4">
        <f t="shared" si="10"/>
        <v>0</v>
      </c>
      <c r="T28" t="str">
        <f t="shared" si="11"/>
        <v/>
      </c>
    </row>
    <row r="29" spans="2:20">
      <c r="B29" s="4"/>
      <c r="C29" s="4"/>
      <c r="H29" s="5">
        <f t="shared" si="0"/>
        <v>0</v>
      </c>
      <c r="I29" s="5">
        <f t="shared" si="1"/>
        <v>0</v>
      </c>
      <c r="J29" s="5">
        <f t="shared" si="2"/>
        <v>0</v>
      </c>
      <c r="K29" s="5">
        <f t="shared" si="3"/>
        <v>0</v>
      </c>
      <c r="L29" s="5">
        <f t="shared" si="4"/>
        <v>0</v>
      </c>
      <c r="M29" s="5"/>
      <c r="N29">
        <f t="shared" si="5"/>
        <v>0</v>
      </c>
      <c r="O29" s="3">
        <f t="shared" si="6"/>
        <v>36532</v>
      </c>
      <c r="P29" s="4">
        <f t="shared" si="7"/>
        <v>0</v>
      </c>
      <c r="Q29" s="4">
        <f t="shared" si="8"/>
        <v>0</v>
      </c>
      <c r="R29" s="4">
        <f t="shared" si="9"/>
        <v>0</v>
      </c>
      <c r="S29" s="4">
        <f t="shared" si="10"/>
        <v>0</v>
      </c>
      <c r="T29" t="str">
        <f t="shared" si="11"/>
        <v/>
      </c>
    </row>
    <row r="30" spans="2:20">
      <c r="B30" s="4"/>
      <c r="C30" s="4"/>
      <c r="H30" s="5">
        <f t="shared" si="0"/>
        <v>0</v>
      </c>
      <c r="I30" s="5">
        <f t="shared" si="1"/>
        <v>0</v>
      </c>
      <c r="J30" s="5">
        <f t="shared" si="2"/>
        <v>0</v>
      </c>
      <c r="K30" s="5">
        <f t="shared" si="3"/>
        <v>0</v>
      </c>
      <c r="L30" s="5">
        <f t="shared" si="4"/>
        <v>0</v>
      </c>
      <c r="M30" s="5"/>
      <c r="N30">
        <f t="shared" si="5"/>
        <v>0</v>
      </c>
      <c r="O30" s="3">
        <f t="shared" si="6"/>
        <v>36533</v>
      </c>
      <c r="P30" s="4">
        <f t="shared" si="7"/>
        <v>0</v>
      </c>
      <c r="Q30" s="4">
        <f t="shared" si="8"/>
        <v>0</v>
      </c>
      <c r="R30" s="4">
        <f t="shared" si="9"/>
        <v>0</v>
      </c>
      <c r="S30" s="4">
        <f t="shared" si="10"/>
        <v>0</v>
      </c>
      <c r="T30" t="str">
        <f t="shared" si="11"/>
        <v/>
      </c>
    </row>
    <row r="31" spans="2:20">
      <c r="B31" s="4"/>
      <c r="C31" s="4"/>
      <c r="H31" s="5">
        <f t="shared" si="0"/>
        <v>0</v>
      </c>
      <c r="I31" s="5">
        <f t="shared" si="1"/>
        <v>0</v>
      </c>
      <c r="J31" s="5">
        <f t="shared" si="2"/>
        <v>0</v>
      </c>
      <c r="K31" s="5">
        <f t="shared" ref="K31:K33" si="12">MIN("8:00", J31)</f>
        <v>0</v>
      </c>
      <c r="L31" s="5">
        <f t="shared" ref="L31:L33" si="13">MAX("8:00", J31) - "8:00"</f>
        <v>0</v>
      </c>
      <c r="M31" s="5"/>
      <c r="N31">
        <f t="shared" si="5"/>
        <v>0</v>
      </c>
      <c r="O31" s="3">
        <f t="shared" si="6"/>
        <v>36534</v>
      </c>
      <c r="P31" s="4">
        <f t="shared" si="7"/>
        <v>0</v>
      </c>
      <c r="Q31" s="4">
        <f t="shared" si="8"/>
        <v>0</v>
      </c>
      <c r="R31" s="4">
        <f t="shared" si="9"/>
        <v>0</v>
      </c>
      <c r="S31" s="4">
        <f t="shared" si="10"/>
        <v>0</v>
      </c>
      <c r="T31" t="str">
        <f t="shared" si="11"/>
        <v/>
      </c>
    </row>
    <row r="32" spans="2:20">
      <c r="B32" s="4"/>
      <c r="H32" s="5">
        <f t="shared" si="0"/>
        <v>0</v>
      </c>
      <c r="I32" s="5">
        <f t="shared" si="1"/>
        <v>0</v>
      </c>
      <c r="J32" s="5">
        <f t="shared" si="2"/>
        <v>0</v>
      </c>
      <c r="K32" s="5">
        <f t="shared" si="12"/>
        <v>0</v>
      </c>
      <c r="L32" s="5">
        <f t="shared" si="13"/>
        <v>0</v>
      </c>
      <c r="M32" s="5"/>
      <c r="N32">
        <f t="shared" si="5"/>
        <v>0</v>
      </c>
      <c r="O32" s="3">
        <f t="shared" si="6"/>
        <v>36535</v>
      </c>
      <c r="P32" s="4">
        <f t="shared" si="7"/>
        <v>0</v>
      </c>
      <c r="Q32" s="4">
        <f t="shared" si="8"/>
        <v>0</v>
      </c>
      <c r="R32" s="4">
        <f t="shared" si="9"/>
        <v>0</v>
      </c>
      <c r="S32" s="4">
        <f t="shared" si="10"/>
        <v>0</v>
      </c>
      <c r="T32" t="str">
        <f t="shared" si="11"/>
        <v/>
      </c>
    </row>
    <row r="33" spans="8:20">
      <c r="H33" s="5">
        <f t="shared" si="0"/>
        <v>0</v>
      </c>
      <c r="I33" s="5">
        <f t="shared" si="1"/>
        <v>0</v>
      </c>
      <c r="J33" s="5">
        <f t="shared" si="2"/>
        <v>0</v>
      </c>
      <c r="K33" s="5">
        <f t="shared" si="12"/>
        <v>0</v>
      </c>
      <c r="L33" s="5">
        <f t="shared" si="13"/>
        <v>0</v>
      </c>
      <c r="M33" s="5"/>
      <c r="N33">
        <f t="shared" si="5"/>
        <v>0</v>
      </c>
      <c r="O33" s="3">
        <f t="shared" si="6"/>
        <v>36536</v>
      </c>
      <c r="P33" s="4">
        <f t="shared" si="7"/>
        <v>0</v>
      </c>
      <c r="Q33" s="4">
        <f t="shared" si="8"/>
        <v>0</v>
      </c>
      <c r="R33" s="4">
        <f t="shared" si="9"/>
        <v>0</v>
      </c>
      <c r="S33" s="4">
        <f t="shared" si="10"/>
        <v>0</v>
      </c>
      <c r="T33" t="str">
        <f t="shared" si="11"/>
        <v/>
      </c>
    </row>
    <row r="34" spans="8:20">
      <c r="N34">
        <f t="shared" si="5"/>
        <v>0</v>
      </c>
      <c r="O34" s="3">
        <f t="shared" si="6"/>
        <v>36537</v>
      </c>
      <c r="P34" s="4">
        <f t="shared" si="7"/>
        <v>0</v>
      </c>
      <c r="Q34" s="4">
        <f t="shared" si="8"/>
        <v>0</v>
      </c>
      <c r="R34" s="4">
        <f t="shared" si="9"/>
        <v>0</v>
      </c>
      <c r="S34" s="4">
        <f t="shared" si="10"/>
        <v>0</v>
      </c>
      <c r="T34" t="str">
        <f t="shared" si="11"/>
        <v/>
      </c>
    </row>
    <row r="35" spans="8:20">
      <c r="N35">
        <f t="shared" si="5"/>
        <v>0</v>
      </c>
      <c r="O35" s="3">
        <f t="shared" si="6"/>
        <v>36538</v>
      </c>
      <c r="P35" s="4">
        <f t="shared" ref="P35:P37" si="14">B30</f>
        <v>0</v>
      </c>
      <c r="Q35" s="4">
        <f t="shared" ref="Q35:Q37" si="15">C30</f>
        <v>0</v>
      </c>
      <c r="R35" s="4">
        <f t="shared" ref="R35:R37" si="16">D30</f>
        <v>0</v>
      </c>
      <c r="S35" s="4">
        <f t="shared" ref="S35:S37" si="17">E30</f>
        <v>0</v>
      </c>
      <c r="T35" t="str">
        <f t="shared" si="11"/>
        <v/>
      </c>
    </row>
    <row r="36" spans="8:20">
      <c r="K36" s="2">
        <f>SUM(K2:K35)</f>
        <v>0</v>
      </c>
      <c r="L36" s="2">
        <f>SUM(L2:L35)</f>
        <v>0</v>
      </c>
      <c r="N36">
        <f t="shared" si="5"/>
        <v>0</v>
      </c>
      <c r="O36" s="3">
        <f t="shared" si="6"/>
        <v>36539</v>
      </c>
      <c r="P36" s="4">
        <f t="shared" si="14"/>
        <v>0</v>
      </c>
      <c r="Q36" s="4">
        <f t="shared" si="15"/>
        <v>0</v>
      </c>
      <c r="R36" s="4">
        <f t="shared" si="16"/>
        <v>0</v>
      </c>
      <c r="S36" s="4">
        <f t="shared" si="17"/>
        <v>0</v>
      </c>
      <c r="T36" t="str">
        <f t="shared" si="11"/>
        <v/>
      </c>
    </row>
    <row r="37" spans="8:20">
      <c r="K37" s="6" t="s">
        <v>11</v>
      </c>
      <c r="L37">
        <f>COUNTIF($J$2:$J$35,"&gt;0")</f>
        <v>0</v>
      </c>
      <c r="N37">
        <f t="shared" si="5"/>
        <v>0</v>
      </c>
      <c r="O37" s="3">
        <f t="shared" si="6"/>
        <v>36540</v>
      </c>
      <c r="P37" s="4">
        <f t="shared" si="14"/>
        <v>0</v>
      </c>
      <c r="Q37" s="4">
        <f t="shared" si="15"/>
        <v>0</v>
      </c>
      <c r="R37" s="4">
        <f t="shared" si="16"/>
        <v>0</v>
      </c>
      <c r="S37" s="4">
        <f t="shared" si="17"/>
        <v>0</v>
      </c>
      <c r="T37" t="str">
        <f t="shared" si="11"/>
        <v/>
      </c>
    </row>
    <row r="38" spans="8:20">
      <c r="M38" s="2"/>
    </row>
  </sheetData>
  <phoneticPr fontId="1"/>
  <conditionalFormatting sqref="H2:M33">
    <cfRule type="cellIs" dxfId="0" priority="2" stopIfTrue="1" operator="equal">
      <formula>0</formula>
    </cfRule>
  </conditionalFormatting>
  <pageMargins left="0.7" right="0.7" top="0.75" bottom="0.75" header="0.3" footer="0.3"/>
  <pageSetup paperSize="9" scale="36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button</vt:lpstr>
      <vt:lpstr>パート</vt:lpstr>
      <vt:lpstr>正社員</vt:lpstr>
      <vt:lpstr>ドクター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araki hidaka</dc:creator>
  <cp:lastModifiedBy>araki hidaka</cp:lastModifiedBy>
  <cp:lastPrinted>2025-01-17T04:35:17Z</cp:lastPrinted>
  <dcterms:created xsi:type="dcterms:W3CDTF">2024-12-16T03:08:45Z</dcterms:created>
  <dcterms:modified xsi:type="dcterms:W3CDTF">2025-01-17T07:18:47Z</dcterms:modified>
</cp:coreProperties>
</file>